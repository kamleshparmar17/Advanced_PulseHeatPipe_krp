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A842D2A2-9F75-462A-AD8E-8620CF1358F5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demo" sheetId="4" r:id="rId1"/>
    <sheet name="final" sheetId="3" r:id="rId2"/>
  </sheets>
  <definedNames>
    <definedName name="_xlnm._FilterDatabase" localSheetId="0" hidden="1">demo!$A$1:$Q$16</definedName>
    <definedName name="_xlnm._FilterDatabase" localSheetId="1" hidden="1">final!$A$1:$Q$21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4" l="1"/>
  <c r="J16" i="4"/>
  <c r="I16" i="4"/>
  <c r="F16" i="4"/>
  <c r="K15" i="4"/>
  <c r="J15" i="4"/>
  <c r="I15" i="4"/>
  <c r="F15" i="4"/>
  <c r="K14" i="4"/>
  <c r="J14" i="4"/>
  <c r="I14" i="4"/>
  <c r="F14" i="4"/>
  <c r="K13" i="4"/>
  <c r="J13" i="4"/>
  <c r="I13" i="4"/>
  <c r="F13" i="4"/>
  <c r="K12" i="4"/>
  <c r="J12" i="4"/>
  <c r="I12" i="4"/>
  <c r="F12" i="4"/>
  <c r="K11" i="4"/>
  <c r="J11" i="4"/>
  <c r="I11" i="4"/>
  <c r="F11" i="4"/>
  <c r="K10" i="4"/>
  <c r="J10" i="4"/>
  <c r="I10" i="4"/>
  <c r="F10" i="4"/>
  <c r="K9" i="4"/>
  <c r="J9" i="4"/>
  <c r="I9" i="4"/>
  <c r="F9" i="4"/>
  <c r="K8" i="4"/>
  <c r="J8" i="4"/>
  <c r="I8" i="4"/>
  <c r="F8" i="4"/>
  <c r="K7" i="4"/>
  <c r="J7" i="4"/>
  <c r="I7" i="4"/>
  <c r="F7" i="4"/>
  <c r="K6" i="4"/>
  <c r="J6" i="4"/>
  <c r="I6" i="4"/>
  <c r="F6" i="4"/>
  <c r="K5" i="4"/>
  <c r="J5" i="4"/>
  <c r="I5" i="4"/>
  <c r="F5" i="4"/>
  <c r="K4" i="4"/>
  <c r="J4" i="4"/>
  <c r="I4" i="4"/>
  <c r="F4" i="4"/>
  <c r="K3" i="4"/>
  <c r="J3" i="4"/>
  <c r="I3" i="4"/>
  <c r="F3" i="4"/>
  <c r="K2" i="4"/>
  <c r="J2" i="4"/>
  <c r="I2" i="4"/>
  <c r="F2" i="4"/>
  <c r="K20" i="3" l="1"/>
  <c r="J20" i="3"/>
  <c r="I20" i="3"/>
  <c r="F20" i="3"/>
  <c r="K19" i="3"/>
  <c r="J19" i="3"/>
  <c r="I19" i="3"/>
  <c r="F19" i="3"/>
  <c r="K18" i="3"/>
  <c r="J18" i="3"/>
  <c r="I18" i="3"/>
  <c r="F18" i="3"/>
  <c r="K17" i="3"/>
  <c r="J17" i="3"/>
  <c r="I17" i="3"/>
  <c r="F17" i="3"/>
  <c r="K16" i="3"/>
  <c r="J16" i="3"/>
  <c r="I16" i="3"/>
  <c r="F16" i="3"/>
  <c r="K15" i="3"/>
  <c r="J15" i="3"/>
  <c r="I15" i="3"/>
  <c r="F15" i="3"/>
  <c r="K14" i="3"/>
  <c r="J14" i="3"/>
  <c r="I14" i="3"/>
  <c r="F14" i="3"/>
  <c r="K13" i="3"/>
  <c r="J13" i="3"/>
  <c r="I13" i="3"/>
  <c r="F13" i="3"/>
  <c r="K12" i="3"/>
  <c r="J12" i="3"/>
  <c r="I12" i="3"/>
  <c r="F12" i="3"/>
  <c r="K11" i="3"/>
  <c r="J11" i="3"/>
  <c r="I11" i="3"/>
  <c r="F11" i="3"/>
  <c r="K10" i="3"/>
  <c r="J10" i="3"/>
  <c r="I10" i="3"/>
  <c r="F10" i="3"/>
  <c r="K9" i="3"/>
  <c r="J9" i="3"/>
  <c r="I9" i="3"/>
  <c r="F9" i="3"/>
  <c r="K8" i="3"/>
  <c r="J8" i="3"/>
  <c r="I8" i="3"/>
  <c r="F8" i="3"/>
  <c r="K7" i="3"/>
  <c r="J7" i="3"/>
  <c r="I7" i="3"/>
  <c r="F7" i="3"/>
  <c r="K6" i="3"/>
  <c r="J6" i="3"/>
  <c r="I6" i="3"/>
  <c r="F6" i="3"/>
  <c r="K5" i="3"/>
  <c r="J5" i="3"/>
  <c r="I5" i="3"/>
  <c r="F5" i="3"/>
  <c r="K4" i="3"/>
  <c r="J4" i="3"/>
  <c r="I4" i="3"/>
  <c r="F4" i="3"/>
  <c r="K3" i="3"/>
  <c r="J3" i="3"/>
  <c r="I3" i="3"/>
  <c r="F3" i="3"/>
  <c r="K2" i="3"/>
  <c r="J2" i="3"/>
  <c r="I2" i="3"/>
  <c r="F2" i="3"/>
</calcChain>
</file>

<file path=xl/sharedStrings.xml><?xml version="1.0" encoding="utf-8"?>
<sst xmlns="http://schemas.openxmlformats.org/spreadsheetml/2006/main" count="35" uniqueCount="18">
  <si>
    <t>alpha</t>
  </si>
  <si>
    <t>beta</t>
  </si>
  <si>
    <t>P1[bar]</t>
  </si>
  <si>
    <t>P2[bar]</t>
  </si>
  <si>
    <t>dG1[KJ/mol]</t>
  </si>
  <si>
    <t>dG2[KJ/mol]</t>
  </si>
  <si>
    <t>dGmin[KJ/mol]</t>
  </si>
  <si>
    <t>repeat</t>
  </si>
  <si>
    <t>may be leakage</t>
  </si>
  <si>
    <t>dTe[K]</t>
  </si>
  <si>
    <t>dTc[K]</t>
  </si>
  <si>
    <t>TR2[K/W]</t>
  </si>
  <si>
    <t>TR1[K/W]</t>
  </si>
  <si>
    <t>Q[W]</t>
  </si>
  <si>
    <t>Te1[K]</t>
  </si>
  <si>
    <t>Te2[K]</t>
  </si>
  <si>
    <t>Tc1[K]</t>
  </si>
  <si>
    <t>Tc2[K]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</si>
</sst>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wrapText="1"/>
    </xf>
    <xf numFmtId="164" fontId="0" fillId="0" borderId="1" xfId="0" applyNumberForma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final!$J$1</c:f>
              <c:strCache>
                <c:ptCount val="1"/>
                <c:pt idx="0">
                  <c:v>TR1[K/W]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final!$B$18:$B$21</c:f>
              <c:numCache>
                <c:formatCode>General</c:formatCode>
                <c:ptCount val="4"/>
                <c:pt idx="0">
                  <c:v>90</c:v>
                </c:pt>
                <c:pt idx="1">
                  <c:v>60</c:v>
                </c:pt>
                <c:pt idx="2">
                  <c:v>30</c:v>
                </c:pt>
              </c:numCache>
            </c:numRef>
          </c:xVal>
          <c:yVal>
            <c:numRef>
              <c:f>final!$J$18:$J$21</c:f>
              <c:numCache>
                <c:formatCode>0.000</c:formatCode>
                <c:ptCount val="4"/>
                <c:pt idx="0">
                  <c:v>0.40833333333333333</c:v>
                </c:pt>
                <c:pt idx="1">
                  <c:v>0.38333333333333336</c:v>
                </c:pt>
                <c:pt idx="2">
                  <c:v>0.375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0D-4EEB-B06E-1101025AE1D9}"/>
            </c:ext>
          </c:extLst>
        </c:ser>
        <c:ser>
          <c:idx val="1"/>
          <c:order val="1"/>
          <c:tx>
            <c:v>alpha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final!$B$18:$B$21</c:f>
              <c:numCache>
                <c:formatCode>General</c:formatCode>
                <c:ptCount val="4"/>
                <c:pt idx="0">
                  <c:v>90</c:v>
                </c:pt>
                <c:pt idx="1">
                  <c:v>60</c:v>
                </c:pt>
                <c:pt idx="2">
                  <c:v>30</c:v>
                </c:pt>
              </c:numCache>
            </c:numRef>
          </c:xVal>
          <c:yVal>
            <c:numRef>
              <c:f>final!$J$18:$J$21</c:f>
              <c:numCache>
                <c:formatCode>0.000</c:formatCode>
                <c:ptCount val="4"/>
                <c:pt idx="0">
                  <c:v>0.40833333333333333</c:v>
                </c:pt>
                <c:pt idx="1">
                  <c:v>0.38333333333333336</c:v>
                </c:pt>
                <c:pt idx="2">
                  <c:v>0.375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0D-4EEB-B06E-1101025AE1D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097379904"/>
        <c:axId val="189237952"/>
      </c:scatterChart>
      <c:valAx>
        <c:axId val="2097379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37952"/>
        <c:crosses val="autoZero"/>
        <c:crossBetween val="midCat"/>
      </c:valAx>
      <c:valAx>
        <c:axId val="18923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TR1 [K]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379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230186</xdr:colOff>
      <xdr:row>22</xdr:row>
      <xdr:rowOff>41275</xdr:rowOff>
    </xdr:from>
    <xdr:to>
      <xdr:col>13</xdr:col>
      <xdr:colOff>682625</xdr:colOff>
      <xdr:row>39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4A5880-C33C-4DE7-BD34-FA1B0C8D3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BB13-84A6-40A9-B2F0-16EBC4A52D5E}">
  <dimension ref="A1:Q16"/>
  <sheetViews>
    <sheetView tabSelected="1" zoomScale="80" zoomScaleNormal="8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P16"/>
    </sheetView>
  </sheetViews>
  <sheetFormatPr defaultRowHeight="14.5" x14ac:dyDescent="0.35"/>
  <cols>
    <col min="1" max="3" width="8.54296875" style="3" customWidth="1"/>
    <col min="4" max="8" width="9.08984375" style="3" customWidth="1"/>
    <col min="9" max="9" width="8.54296875" style="3" customWidth="1"/>
    <col min="10" max="11" width="10.26953125" style="3" customWidth="1"/>
    <col min="12" max="13" width="8.54296875" style="3" customWidth="1"/>
    <col min="14" max="14" width="11.81640625" style="3" bestFit="1" customWidth="1"/>
    <col min="15" max="15" width="13.54296875" style="3" customWidth="1"/>
    <col min="16" max="16" width="11.81640625" style="3" bestFit="1" customWidth="1"/>
    <col min="17" max="17" width="14.36328125" customWidth="1"/>
  </cols>
  <sheetData>
    <row r="1" spans="1:17" s="5" customFormat="1" ht="39.5" customHeight="1" x14ac:dyDescent="0.35">
      <c r="A1" s="4" t="s">
        <v>13</v>
      </c>
      <c r="B1" s="4" t="s">
        <v>0</v>
      </c>
      <c r="C1" s="4" t="s">
        <v>1</v>
      </c>
      <c r="D1" s="4" t="s">
        <v>14</v>
      </c>
      <c r="E1" s="4" t="s">
        <v>15</v>
      </c>
      <c r="F1" s="4" t="s">
        <v>9</v>
      </c>
      <c r="G1" s="4" t="s">
        <v>16</v>
      </c>
      <c r="H1" s="4" t="s">
        <v>17</v>
      </c>
      <c r="I1" s="4" t="s">
        <v>10</v>
      </c>
      <c r="J1" s="4" t="s">
        <v>12</v>
      </c>
      <c r="K1" s="4" t="s">
        <v>11</v>
      </c>
      <c r="L1" s="4" t="s">
        <v>2</v>
      </c>
      <c r="M1" s="4" t="s">
        <v>3</v>
      </c>
      <c r="N1" s="4" t="s">
        <v>4</v>
      </c>
      <c r="O1" s="4" t="s">
        <v>6</v>
      </c>
      <c r="P1" s="4" t="s">
        <v>5</v>
      </c>
    </row>
    <row r="2" spans="1:17" ht="20.5" customHeight="1" x14ac:dyDescent="0.35">
      <c r="A2" s="1">
        <v>40</v>
      </c>
      <c r="B2" s="1">
        <v>60</v>
      </c>
      <c r="C2" s="1">
        <v>0</v>
      </c>
      <c r="D2" s="1">
        <v>349</v>
      </c>
      <c r="E2" s="1">
        <v>357</v>
      </c>
      <c r="F2" s="1">
        <f t="shared" ref="F2:F16" si="0">(E2-D2)</f>
        <v>8</v>
      </c>
      <c r="G2" s="1">
        <v>304</v>
      </c>
      <c r="H2" s="1">
        <v>305</v>
      </c>
      <c r="I2" s="1">
        <f t="shared" ref="I2:I16" si="1">(H2-G2)</f>
        <v>1</v>
      </c>
      <c r="J2" s="7">
        <f t="shared" ref="J2:J16" si="2">(D2-G2)/A2</f>
        <v>1.125</v>
      </c>
      <c r="K2" s="7">
        <f t="shared" ref="K2:K16" si="3">(E2-H2)/A2</f>
        <v>1.3</v>
      </c>
      <c r="L2" s="1">
        <v>0.7</v>
      </c>
      <c r="M2" s="1">
        <v>0.8</v>
      </c>
      <c r="N2" s="1">
        <v>-140</v>
      </c>
      <c r="O2" s="1">
        <v>-160</v>
      </c>
      <c r="P2" s="1">
        <v>-0.85</v>
      </c>
    </row>
    <row r="3" spans="1:17" ht="20.5" customHeight="1" x14ac:dyDescent="0.35">
      <c r="A3" s="1">
        <v>40</v>
      </c>
      <c r="B3" s="1">
        <v>30</v>
      </c>
      <c r="C3" s="1">
        <v>0</v>
      </c>
      <c r="D3" s="1">
        <v>349</v>
      </c>
      <c r="E3" s="1">
        <v>358.5</v>
      </c>
      <c r="F3" s="1">
        <f t="shared" si="0"/>
        <v>9.5</v>
      </c>
      <c r="G3" s="1">
        <v>304</v>
      </c>
      <c r="H3" s="1">
        <v>306</v>
      </c>
      <c r="I3" s="1">
        <f t="shared" si="1"/>
        <v>2</v>
      </c>
      <c r="J3" s="7">
        <f t="shared" si="2"/>
        <v>1.125</v>
      </c>
      <c r="K3" s="7">
        <f t="shared" si="3"/>
        <v>1.3125</v>
      </c>
      <c r="L3" s="1">
        <v>0.7</v>
      </c>
      <c r="M3" s="1">
        <v>0.83</v>
      </c>
      <c r="N3" s="1">
        <v>-130</v>
      </c>
      <c r="O3" s="1">
        <v>-150</v>
      </c>
      <c r="P3" s="1">
        <v>-90</v>
      </c>
    </row>
    <row r="4" spans="1:17" ht="20.5" customHeight="1" x14ac:dyDescent="0.35">
      <c r="A4" s="1">
        <v>60</v>
      </c>
      <c r="B4" s="1">
        <v>60</v>
      </c>
      <c r="C4" s="1">
        <v>0</v>
      </c>
      <c r="D4" s="1">
        <v>350</v>
      </c>
      <c r="E4" s="1">
        <v>355</v>
      </c>
      <c r="F4" s="1">
        <f t="shared" si="0"/>
        <v>5</v>
      </c>
      <c r="G4" s="1">
        <v>303</v>
      </c>
      <c r="H4" s="1">
        <v>319</v>
      </c>
      <c r="I4" s="1">
        <f t="shared" si="1"/>
        <v>16</v>
      </c>
      <c r="J4" s="7">
        <f t="shared" si="2"/>
        <v>0.78333333333333333</v>
      </c>
      <c r="K4" s="7">
        <f t="shared" si="3"/>
        <v>0.6</v>
      </c>
      <c r="L4" s="1">
        <v>0.65</v>
      </c>
      <c r="M4" s="1">
        <v>1</v>
      </c>
      <c r="N4" s="1">
        <v>-160</v>
      </c>
      <c r="O4" s="1">
        <v>-180</v>
      </c>
      <c r="P4" s="1">
        <v>0</v>
      </c>
    </row>
    <row r="5" spans="1:17" ht="20.5" customHeight="1" x14ac:dyDescent="0.35">
      <c r="A5" s="1">
        <v>60</v>
      </c>
      <c r="B5" s="1">
        <v>30</v>
      </c>
      <c r="C5" s="1">
        <v>0</v>
      </c>
      <c r="D5" s="1">
        <v>350</v>
      </c>
      <c r="E5" s="1">
        <v>359</v>
      </c>
      <c r="F5" s="1">
        <f t="shared" si="0"/>
        <v>9</v>
      </c>
      <c r="G5" s="1">
        <v>305</v>
      </c>
      <c r="H5" s="1">
        <v>321</v>
      </c>
      <c r="I5" s="1">
        <f t="shared" si="1"/>
        <v>16</v>
      </c>
      <c r="J5" s="7">
        <f t="shared" si="2"/>
        <v>0.75</v>
      </c>
      <c r="K5" s="7">
        <f t="shared" si="3"/>
        <v>0.6333333333333333</v>
      </c>
      <c r="L5" s="1">
        <v>0.75</v>
      </c>
      <c r="M5" s="1">
        <v>1</v>
      </c>
      <c r="N5" s="1">
        <v>-120</v>
      </c>
      <c r="O5" s="1">
        <v>-150</v>
      </c>
      <c r="P5" s="1">
        <v>0</v>
      </c>
    </row>
    <row r="6" spans="1:17" ht="20.5" customHeight="1" x14ac:dyDescent="0.35">
      <c r="A6" s="1">
        <v>80</v>
      </c>
      <c r="B6" s="1">
        <v>90</v>
      </c>
      <c r="C6" s="1">
        <v>0</v>
      </c>
      <c r="D6" s="1">
        <v>350</v>
      </c>
      <c r="E6" s="1">
        <v>355</v>
      </c>
      <c r="F6" s="1">
        <f t="shared" si="0"/>
        <v>5</v>
      </c>
      <c r="G6" s="1">
        <v>302</v>
      </c>
      <c r="H6" s="1">
        <v>320</v>
      </c>
      <c r="I6" s="1">
        <f t="shared" si="1"/>
        <v>18</v>
      </c>
      <c r="J6" s="7">
        <f t="shared" si="2"/>
        <v>0.6</v>
      </c>
      <c r="K6" s="7">
        <f t="shared" si="3"/>
        <v>0.4375</v>
      </c>
      <c r="L6" s="1">
        <v>0.75</v>
      </c>
      <c r="M6" s="1">
        <v>1</v>
      </c>
      <c r="N6" s="1">
        <v>-125</v>
      </c>
      <c r="O6" s="1">
        <v>-150</v>
      </c>
      <c r="P6" s="1">
        <v>0</v>
      </c>
    </row>
    <row r="7" spans="1:17" ht="20.5" customHeight="1" x14ac:dyDescent="0.35">
      <c r="A7" s="1">
        <v>80</v>
      </c>
      <c r="B7" s="1">
        <v>60</v>
      </c>
      <c r="C7" s="1">
        <v>0</v>
      </c>
      <c r="D7" s="1">
        <v>355</v>
      </c>
      <c r="E7" s="1">
        <v>358</v>
      </c>
      <c r="F7" s="1">
        <f t="shared" si="0"/>
        <v>3</v>
      </c>
      <c r="G7" s="1">
        <v>305</v>
      </c>
      <c r="H7" s="1">
        <v>313</v>
      </c>
      <c r="I7" s="1">
        <f t="shared" si="1"/>
        <v>8</v>
      </c>
      <c r="J7" s="7">
        <f t="shared" si="2"/>
        <v>0.625</v>
      </c>
      <c r="K7" s="7">
        <f t="shared" si="3"/>
        <v>0.5625</v>
      </c>
      <c r="L7" s="1">
        <v>0.8</v>
      </c>
      <c r="M7" s="1">
        <v>1</v>
      </c>
      <c r="N7" s="1">
        <v>-85</v>
      </c>
      <c r="O7" s="1">
        <v>-100</v>
      </c>
      <c r="P7" s="1">
        <v>0</v>
      </c>
    </row>
    <row r="8" spans="1:17" ht="20.5" customHeight="1" x14ac:dyDescent="0.35">
      <c r="A8" s="1">
        <v>80</v>
      </c>
      <c r="B8" s="1">
        <v>30</v>
      </c>
      <c r="C8" s="1">
        <v>0</v>
      </c>
      <c r="D8" s="1">
        <v>348</v>
      </c>
      <c r="E8" s="1">
        <v>358</v>
      </c>
      <c r="F8" s="1">
        <f t="shared" si="0"/>
        <v>10</v>
      </c>
      <c r="G8" s="1">
        <v>303</v>
      </c>
      <c r="H8" s="1">
        <v>322</v>
      </c>
      <c r="I8" s="1">
        <f t="shared" si="1"/>
        <v>19</v>
      </c>
      <c r="J8" s="7">
        <f t="shared" si="2"/>
        <v>0.5625</v>
      </c>
      <c r="K8" s="7">
        <f t="shared" si="3"/>
        <v>0.45</v>
      </c>
      <c r="L8" s="1">
        <v>0.65</v>
      </c>
      <c r="M8" s="1">
        <v>1</v>
      </c>
      <c r="N8" s="1">
        <v>-160</v>
      </c>
      <c r="O8" s="1">
        <v>-200</v>
      </c>
      <c r="P8" s="1">
        <v>0</v>
      </c>
    </row>
    <row r="9" spans="1:17" ht="20.5" customHeight="1" x14ac:dyDescent="0.35">
      <c r="A9" s="2">
        <v>80</v>
      </c>
      <c r="B9" s="2">
        <v>0</v>
      </c>
      <c r="C9" s="2">
        <v>0</v>
      </c>
      <c r="D9" s="2">
        <v>360</v>
      </c>
      <c r="E9" s="2">
        <v>364</v>
      </c>
      <c r="F9" s="1">
        <f t="shared" si="0"/>
        <v>4</v>
      </c>
      <c r="G9" s="2">
        <v>303</v>
      </c>
      <c r="H9" s="2">
        <v>303.5</v>
      </c>
      <c r="I9" s="1">
        <f t="shared" si="1"/>
        <v>0.5</v>
      </c>
      <c r="J9" s="7">
        <f t="shared" si="2"/>
        <v>0.71250000000000002</v>
      </c>
      <c r="K9" s="7">
        <f t="shared" si="3"/>
        <v>0.75624999999999998</v>
      </c>
      <c r="L9" s="2">
        <v>0.7</v>
      </c>
      <c r="M9" s="2">
        <v>0.75</v>
      </c>
      <c r="N9" s="2">
        <v>-150</v>
      </c>
      <c r="O9" s="2">
        <v>-160</v>
      </c>
      <c r="P9" s="2">
        <v>-140</v>
      </c>
      <c r="Q9" t="s">
        <v>7</v>
      </c>
    </row>
    <row r="10" spans="1:17" ht="20.5" customHeight="1" x14ac:dyDescent="0.35">
      <c r="A10" s="1">
        <v>100</v>
      </c>
      <c r="B10" s="1">
        <v>90</v>
      </c>
      <c r="C10" s="1">
        <v>0</v>
      </c>
      <c r="D10" s="1">
        <v>352</v>
      </c>
      <c r="E10" s="1">
        <v>355</v>
      </c>
      <c r="F10" s="1">
        <f t="shared" si="0"/>
        <v>3</v>
      </c>
      <c r="G10" s="1">
        <v>305</v>
      </c>
      <c r="H10" s="1">
        <v>315</v>
      </c>
      <c r="I10" s="1">
        <f t="shared" si="1"/>
        <v>10</v>
      </c>
      <c r="J10" s="7">
        <f t="shared" si="2"/>
        <v>0.47</v>
      </c>
      <c r="K10" s="7">
        <f t="shared" si="3"/>
        <v>0.4</v>
      </c>
      <c r="L10" s="1">
        <v>0.72</v>
      </c>
      <c r="M10" s="1">
        <v>1</v>
      </c>
      <c r="N10" s="1">
        <v>-130</v>
      </c>
      <c r="O10" s="1">
        <v>-160</v>
      </c>
      <c r="P10" s="1">
        <v>0</v>
      </c>
    </row>
    <row r="11" spans="1:17" ht="20.5" customHeight="1" x14ac:dyDescent="0.35">
      <c r="A11" s="1">
        <v>100</v>
      </c>
      <c r="B11" s="1">
        <v>60</v>
      </c>
      <c r="C11" s="1">
        <v>0</v>
      </c>
      <c r="D11" s="1">
        <v>353</v>
      </c>
      <c r="E11" s="1">
        <v>358</v>
      </c>
      <c r="F11" s="1">
        <f t="shared" si="0"/>
        <v>5</v>
      </c>
      <c r="G11" s="1">
        <v>306</v>
      </c>
      <c r="H11" s="1">
        <v>321</v>
      </c>
      <c r="I11" s="1">
        <f t="shared" si="1"/>
        <v>15</v>
      </c>
      <c r="J11" s="7">
        <f t="shared" si="2"/>
        <v>0.47</v>
      </c>
      <c r="K11" s="7">
        <f t="shared" si="3"/>
        <v>0.37</v>
      </c>
      <c r="L11" s="1">
        <v>0.75</v>
      </c>
      <c r="M11" s="1">
        <v>1</v>
      </c>
      <c r="N11" s="1">
        <v>-120</v>
      </c>
      <c r="O11" s="1">
        <v>-130</v>
      </c>
      <c r="P11" s="1">
        <v>0</v>
      </c>
    </row>
    <row r="12" spans="1:17" ht="20.5" customHeight="1" x14ac:dyDescent="0.35">
      <c r="A12" s="1">
        <v>100</v>
      </c>
      <c r="B12" s="1">
        <v>30</v>
      </c>
      <c r="C12" s="1">
        <v>0</v>
      </c>
      <c r="D12" s="1">
        <v>346</v>
      </c>
      <c r="E12" s="1">
        <v>357</v>
      </c>
      <c r="F12" s="1">
        <f t="shared" si="0"/>
        <v>11</v>
      </c>
      <c r="G12" s="1">
        <v>306</v>
      </c>
      <c r="H12" s="1">
        <v>325</v>
      </c>
      <c r="I12" s="1">
        <f t="shared" si="1"/>
        <v>19</v>
      </c>
      <c r="J12" s="7">
        <f t="shared" si="2"/>
        <v>0.4</v>
      </c>
      <c r="K12" s="7">
        <f t="shared" si="3"/>
        <v>0.32</v>
      </c>
      <c r="L12" s="1">
        <v>0.45</v>
      </c>
      <c r="M12" s="1">
        <v>1</v>
      </c>
      <c r="N12" s="1">
        <v>-250</v>
      </c>
      <c r="O12" s="1">
        <v>-280</v>
      </c>
      <c r="P12" s="1">
        <v>0</v>
      </c>
    </row>
    <row r="13" spans="1:17" ht="20.5" customHeight="1" x14ac:dyDescent="0.35">
      <c r="A13" s="1">
        <v>100</v>
      </c>
      <c r="B13" s="1">
        <v>0</v>
      </c>
      <c r="C13" s="1">
        <v>0</v>
      </c>
      <c r="D13" s="1">
        <v>350</v>
      </c>
      <c r="E13" s="1">
        <v>385</v>
      </c>
      <c r="F13" s="1">
        <f t="shared" si="0"/>
        <v>35</v>
      </c>
      <c r="G13" s="1">
        <v>302</v>
      </c>
      <c r="H13" s="1">
        <v>306</v>
      </c>
      <c r="I13" s="1">
        <f t="shared" si="1"/>
        <v>4</v>
      </c>
      <c r="J13" s="7">
        <f t="shared" si="2"/>
        <v>0.48</v>
      </c>
      <c r="K13" s="7">
        <f t="shared" si="3"/>
        <v>0.79</v>
      </c>
      <c r="L13" s="1">
        <v>0.67</v>
      </c>
      <c r="M13" s="1">
        <v>0.69</v>
      </c>
      <c r="N13" s="1">
        <v>-270</v>
      </c>
      <c r="O13" s="1">
        <v>-370</v>
      </c>
      <c r="P13" s="1">
        <v>-240</v>
      </c>
    </row>
    <row r="14" spans="1:17" ht="20.5" customHeight="1" x14ac:dyDescent="0.35">
      <c r="A14" s="1">
        <v>120</v>
      </c>
      <c r="B14" s="1">
        <v>90</v>
      </c>
      <c r="C14" s="1">
        <v>0</v>
      </c>
      <c r="D14" s="1">
        <v>353</v>
      </c>
      <c r="E14" s="1">
        <v>356</v>
      </c>
      <c r="F14" s="1">
        <f t="shared" si="0"/>
        <v>3</v>
      </c>
      <c r="G14" s="1">
        <v>304</v>
      </c>
      <c r="H14" s="1">
        <v>315</v>
      </c>
      <c r="I14" s="1">
        <f t="shared" si="1"/>
        <v>11</v>
      </c>
      <c r="J14" s="7">
        <f t="shared" si="2"/>
        <v>0.40833333333333333</v>
      </c>
      <c r="K14" s="7">
        <f t="shared" si="3"/>
        <v>0.34166666666666667</v>
      </c>
      <c r="L14" s="1">
        <v>0.77</v>
      </c>
      <c r="M14" s="1">
        <v>1</v>
      </c>
      <c r="N14" s="1">
        <v>-100</v>
      </c>
      <c r="O14" s="1">
        <v>-130</v>
      </c>
      <c r="P14" s="1">
        <v>0</v>
      </c>
    </row>
    <row r="15" spans="1:17" ht="20.5" customHeight="1" x14ac:dyDescent="0.35">
      <c r="A15" s="1">
        <v>120</v>
      </c>
      <c r="B15" s="1">
        <v>60</v>
      </c>
      <c r="C15" s="1">
        <v>0</v>
      </c>
      <c r="D15" s="1">
        <v>353</v>
      </c>
      <c r="E15" s="1">
        <v>356</v>
      </c>
      <c r="F15" s="1">
        <f t="shared" si="0"/>
        <v>3</v>
      </c>
      <c r="G15" s="1">
        <v>307</v>
      </c>
      <c r="H15" s="1">
        <v>313</v>
      </c>
      <c r="I15" s="1">
        <f t="shared" si="1"/>
        <v>6</v>
      </c>
      <c r="J15" s="7">
        <f t="shared" si="2"/>
        <v>0.38333333333333336</v>
      </c>
      <c r="K15" s="7">
        <f t="shared" si="3"/>
        <v>0.35833333333333334</v>
      </c>
      <c r="L15" s="1">
        <v>0.8</v>
      </c>
      <c r="M15" s="1">
        <v>1</v>
      </c>
      <c r="N15" s="1">
        <v>-75</v>
      </c>
      <c r="O15" s="1">
        <v>-85</v>
      </c>
      <c r="P15" s="1">
        <v>0</v>
      </c>
    </row>
    <row r="16" spans="1:17" ht="20.5" customHeight="1" x14ac:dyDescent="0.35">
      <c r="A16" s="1">
        <v>120</v>
      </c>
      <c r="B16" s="1">
        <v>30</v>
      </c>
      <c r="C16" s="1">
        <v>0</v>
      </c>
      <c r="D16" s="1">
        <v>348</v>
      </c>
      <c r="E16" s="1">
        <v>358</v>
      </c>
      <c r="F16" s="1">
        <f t="shared" si="0"/>
        <v>10</v>
      </c>
      <c r="G16" s="1">
        <v>303</v>
      </c>
      <c r="H16" s="1">
        <v>323</v>
      </c>
      <c r="I16" s="1">
        <f t="shared" si="1"/>
        <v>20</v>
      </c>
      <c r="J16" s="7">
        <f t="shared" si="2"/>
        <v>0.375</v>
      </c>
      <c r="K16" s="7">
        <f t="shared" si="3"/>
        <v>0.29166666666666669</v>
      </c>
      <c r="L16" s="1">
        <v>0.6</v>
      </c>
      <c r="M16" s="1">
        <v>1</v>
      </c>
      <c r="N16" s="1">
        <v>-185</v>
      </c>
      <c r="O16" s="1">
        <v>-230</v>
      </c>
      <c r="P16" s="1">
        <v>0</v>
      </c>
    </row>
  </sheetData>
  <autoFilter ref="A1:Q16" xr:uid="{352B2901-6CC7-43E4-A5A1-B7A16DFEB026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B79-26AA-447A-BB9D-B1F1C9946AF4}">
  <dimension ref="A1:Q21"/>
  <sheetViews>
    <sheetView zoomScale="80" zoomScaleNormal="8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8" sqref="H8"/>
    </sheetView>
  </sheetViews>
  <sheetFormatPr defaultRowHeight="14.5" x14ac:dyDescent="0.35"/>
  <cols>
    <col min="1" max="3" width="8.54296875" style="3" customWidth="1"/>
    <col min="4" max="8" width="9" style="3" customWidth="1"/>
    <col min="9" max="9" width="8.54296875" style="3" customWidth="1"/>
    <col min="10" max="11" width="10.26953125" style="3" customWidth="1"/>
    <col min="12" max="13" width="8.54296875" style="3" customWidth="1"/>
    <col min="14" max="14" width="11.81640625" style="3" bestFit="1" customWidth="1"/>
    <col min="15" max="15" width="13.54296875" style="3" customWidth="1"/>
    <col min="16" max="16" width="11.81640625" style="3" bestFit="1" customWidth="1"/>
    <col min="17" max="17" width="14.36328125" customWidth="1"/>
  </cols>
  <sheetData>
    <row r="1" spans="1:17" s="5" customFormat="1" ht="39.5" customHeight="1" x14ac:dyDescent="0.35">
      <c r="A1" s="4" t="s">
        <v>13</v>
      </c>
      <c r="B1" s="4" t="s">
        <v>0</v>
      </c>
      <c r="C1" s="4" t="s">
        <v>1</v>
      </c>
      <c r="D1" s="4" t="s">
        <v>14</v>
      </c>
      <c r="E1" s="4" t="s">
        <v>15</v>
      </c>
      <c r="F1" s="4" t="s">
        <v>9</v>
      </c>
      <c r="G1" s="4" t="s">
        <v>16</v>
      </c>
      <c r="H1" s="4" t="s">
        <v>17</v>
      </c>
      <c r="I1" s="4" t="s">
        <v>10</v>
      </c>
      <c r="J1" s="4" t="s">
        <v>12</v>
      </c>
      <c r="K1" s="4" t="s">
        <v>11</v>
      </c>
      <c r="L1" s="4" t="s">
        <v>2</v>
      </c>
      <c r="M1" s="4" t="s">
        <v>3</v>
      </c>
      <c r="N1" s="4" t="s">
        <v>4</v>
      </c>
      <c r="O1" s="4" t="s">
        <v>6</v>
      </c>
      <c r="P1" s="4" t="s">
        <v>5</v>
      </c>
    </row>
    <row r="2" spans="1:17" ht="20.5" customHeight="1" x14ac:dyDescent="0.35">
      <c r="A2" s="1">
        <v>40</v>
      </c>
      <c r="B2" s="1">
        <v>90</v>
      </c>
      <c r="C2" s="1">
        <v>0</v>
      </c>
      <c r="D2" s="1">
        <v>348</v>
      </c>
      <c r="E2" s="1">
        <v>356</v>
      </c>
      <c r="F2" s="1">
        <f t="shared" ref="F2:F20" si="0">(E2-D2)</f>
        <v>8</v>
      </c>
      <c r="G2" s="1">
        <v>306</v>
      </c>
      <c r="H2" s="1"/>
      <c r="I2" s="6">
        <f t="shared" ref="I2:I20" si="1">(H2-G2)</f>
        <v>-306</v>
      </c>
      <c r="J2" s="7">
        <f>(D2-G2)/A2</f>
        <v>1.05</v>
      </c>
      <c r="K2" s="7">
        <f>(E2-H2)/A2</f>
        <v>8.9</v>
      </c>
      <c r="L2" s="1">
        <v>0.62</v>
      </c>
      <c r="M2" s="1">
        <v>0.76</v>
      </c>
      <c r="N2" s="1">
        <v>-160</v>
      </c>
      <c r="O2" s="1">
        <v>-190</v>
      </c>
      <c r="P2" s="1">
        <v>-90</v>
      </c>
    </row>
    <row r="3" spans="1:17" ht="20.5" customHeight="1" x14ac:dyDescent="0.35">
      <c r="A3" s="1">
        <v>40</v>
      </c>
      <c r="B3" s="1">
        <v>60</v>
      </c>
      <c r="C3" s="1">
        <v>0</v>
      </c>
      <c r="D3" s="1">
        <v>349</v>
      </c>
      <c r="E3" s="1">
        <v>357</v>
      </c>
      <c r="F3" s="1">
        <f t="shared" si="0"/>
        <v>8</v>
      </c>
      <c r="G3" s="1">
        <v>304</v>
      </c>
      <c r="H3" s="1">
        <v>305</v>
      </c>
      <c r="I3" s="1">
        <f t="shared" si="1"/>
        <v>1</v>
      </c>
      <c r="J3" s="7">
        <f t="shared" ref="J3:J20" si="2">(D3-G3)/A3</f>
        <v>1.125</v>
      </c>
      <c r="K3" s="7">
        <f t="shared" ref="K3:K20" si="3">(E3-H3)/A3</f>
        <v>1.3</v>
      </c>
      <c r="L3" s="1">
        <v>0.7</v>
      </c>
      <c r="M3" s="1">
        <v>0.8</v>
      </c>
      <c r="N3" s="1">
        <v>-140</v>
      </c>
      <c r="O3" s="1">
        <v>-160</v>
      </c>
      <c r="P3" s="1">
        <v>-0.85</v>
      </c>
    </row>
    <row r="4" spans="1:17" ht="20.5" customHeight="1" x14ac:dyDescent="0.35">
      <c r="A4" s="1">
        <v>40</v>
      </c>
      <c r="B4" s="1">
        <v>30</v>
      </c>
      <c r="C4" s="1">
        <v>0</v>
      </c>
      <c r="D4" s="1">
        <v>349</v>
      </c>
      <c r="E4" s="1">
        <v>358.5</v>
      </c>
      <c r="F4" s="1">
        <f t="shared" si="0"/>
        <v>9.5</v>
      </c>
      <c r="G4" s="1">
        <v>304</v>
      </c>
      <c r="H4" s="1">
        <v>306</v>
      </c>
      <c r="I4" s="1">
        <f t="shared" si="1"/>
        <v>2</v>
      </c>
      <c r="J4" s="7">
        <f t="shared" si="2"/>
        <v>1.125</v>
      </c>
      <c r="K4" s="7">
        <f t="shared" si="3"/>
        <v>1.3125</v>
      </c>
      <c r="L4" s="1">
        <v>0.7</v>
      </c>
      <c r="M4" s="1">
        <v>0.83</v>
      </c>
      <c r="N4" s="1">
        <v>-130</v>
      </c>
      <c r="O4" s="1">
        <v>-150</v>
      </c>
      <c r="P4" s="1">
        <v>-90</v>
      </c>
    </row>
    <row r="5" spans="1:17" ht="20.5" customHeight="1" x14ac:dyDescent="0.35">
      <c r="A5" s="1">
        <v>40</v>
      </c>
      <c r="B5" s="1">
        <v>0</v>
      </c>
      <c r="C5" s="1">
        <v>0</v>
      </c>
      <c r="D5" s="1"/>
      <c r="E5" s="1"/>
      <c r="F5" s="1">
        <f t="shared" si="0"/>
        <v>0</v>
      </c>
      <c r="G5" s="1"/>
      <c r="H5" s="1"/>
      <c r="I5" s="1">
        <f t="shared" si="1"/>
        <v>0</v>
      </c>
      <c r="J5" s="7">
        <f t="shared" si="2"/>
        <v>0</v>
      </c>
      <c r="K5" s="7">
        <f t="shared" si="3"/>
        <v>0</v>
      </c>
      <c r="L5" s="1"/>
      <c r="M5" s="1">
        <v>1</v>
      </c>
      <c r="N5" s="1"/>
      <c r="O5" s="1"/>
      <c r="P5" s="1">
        <v>0</v>
      </c>
    </row>
    <row r="6" spans="1:17" ht="20.5" customHeight="1" x14ac:dyDescent="0.35">
      <c r="A6" s="2">
        <v>60</v>
      </c>
      <c r="B6" s="2">
        <v>90</v>
      </c>
      <c r="C6" s="2">
        <v>0</v>
      </c>
      <c r="D6" s="1"/>
      <c r="E6" s="1"/>
      <c r="F6" s="1">
        <f t="shared" si="0"/>
        <v>0</v>
      </c>
      <c r="G6" s="1"/>
      <c r="H6" s="1"/>
      <c r="I6" s="1">
        <f t="shared" si="1"/>
        <v>0</v>
      </c>
      <c r="J6" s="7">
        <f t="shared" si="2"/>
        <v>0</v>
      </c>
      <c r="K6" s="7">
        <f t="shared" si="3"/>
        <v>0</v>
      </c>
      <c r="L6" s="1"/>
      <c r="M6" s="1">
        <v>1</v>
      </c>
      <c r="N6" s="1"/>
      <c r="O6" s="1"/>
      <c r="P6" s="1">
        <v>0</v>
      </c>
      <c r="Q6" t="s">
        <v>8</v>
      </c>
    </row>
    <row r="7" spans="1:17" ht="20.5" customHeight="1" x14ac:dyDescent="0.35">
      <c r="A7" s="1">
        <v>60</v>
      </c>
      <c r="B7" s="1">
        <v>60</v>
      </c>
      <c r="C7" s="1">
        <v>0</v>
      </c>
      <c r="D7" s="1">
        <v>350</v>
      </c>
      <c r="E7" s="1">
        <v>355</v>
      </c>
      <c r="F7" s="1">
        <f t="shared" si="0"/>
        <v>5</v>
      </c>
      <c r="G7" s="1">
        <v>303</v>
      </c>
      <c r="H7" s="1">
        <v>319</v>
      </c>
      <c r="I7" s="1">
        <f t="shared" si="1"/>
        <v>16</v>
      </c>
      <c r="J7" s="7">
        <f t="shared" si="2"/>
        <v>0.78333333333333333</v>
      </c>
      <c r="K7" s="7">
        <f t="shared" si="3"/>
        <v>0.6</v>
      </c>
      <c r="L7" s="1">
        <v>0.65</v>
      </c>
      <c r="M7" s="1">
        <v>1</v>
      </c>
      <c r="N7" s="1">
        <v>-160</v>
      </c>
      <c r="O7" s="1">
        <v>-180</v>
      </c>
      <c r="P7" s="1">
        <v>0</v>
      </c>
    </row>
    <row r="8" spans="1:17" ht="20.5" customHeight="1" x14ac:dyDescent="0.35">
      <c r="A8" s="1">
        <v>60</v>
      </c>
      <c r="B8" s="1">
        <v>30</v>
      </c>
      <c r="C8" s="1">
        <v>0</v>
      </c>
      <c r="D8" s="1">
        <v>350</v>
      </c>
      <c r="E8" s="1">
        <v>359</v>
      </c>
      <c r="F8" s="1">
        <f t="shared" si="0"/>
        <v>9</v>
      </c>
      <c r="G8" s="1">
        <v>305</v>
      </c>
      <c r="H8" s="1">
        <v>321</v>
      </c>
      <c r="I8" s="1">
        <f t="shared" si="1"/>
        <v>16</v>
      </c>
      <c r="J8" s="7">
        <f t="shared" si="2"/>
        <v>0.75</v>
      </c>
      <c r="K8" s="7">
        <f t="shared" si="3"/>
        <v>0.6333333333333333</v>
      </c>
      <c r="L8" s="1">
        <v>0.75</v>
      </c>
      <c r="M8" s="1">
        <v>1</v>
      </c>
      <c r="N8" s="1">
        <v>-120</v>
      </c>
      <c r="O8" s="1">
        <v>-150</v>
      </c>
      <c r="P8" s="1">
        <v>0</v>
      </c>
    </row>
    <row r="9" spans="1:17" ht="20.5" customHeight="1" x14ac:dyDescent="0.35">
      <c r="A9" s="1">
        <v>60</v>
      </c>
      <c r="B9" s="1">
        <v>0</v>
      </c>
      <c r="C9" s="1">
        <v>0</v>
      </c>
      <c r="D9" s="1"/>
      <c r="E9" s="1"/>
      <c r="F9" s="1">
        <f t="shared" si="0"/>
        <v>0</v>
      </c>
      <c r="G9" s="1"/>
      <c r="H9" s="1"/>
      <c r="I9" s="1">
        <f t="shared" si="1"/>
        <v>0</v>
      </c>
      <c r="J9" s="7">
        <f t="shared" si="2"/>
        <v>0</v>
      </c>
      <c r="K9" s="7">
        <f t="shared" si="3"/>
        <v>0</v>
      </c>
      <c r="L9" s="1"/>
      <c r="M9" s="1">
        <v>1</v>
      </c>
      <c r="N9" s="1"/>
      <c r="O9" s="1"/>
      <c r="P9" s="1">
        <v>0</v>
      </c>
    </row>
    <row r="10" spans="1:17" ht="20.5" customHeight="1" x14ac:dyDescent="0.35">
      <c r="A10" s="1">
        <v>80</v>
      </c>
      <c r="B10" s="1">
        <v>90</v>
      </c>
      <c r="C10" s="1">
        <v>0</v>
      </c>
      <c r="D10" s="1">
        <v>350</v>
      </c>
      <c r="E10" s="1">
        <v>355</v>
      </c>
      <c r="F10" s="1">
        <f t="shared" si="0"/>
        <v>5</v>
      </c>
      <c r="G10" s="1">
        <v>302</v>
      </c>
      <c r="H10" s="1">
        <v>320</v>
      </c>
      <c r="I10" s="1">
        <f t="shared" si="1"/>
        <v>18</v>
      </c>
      <c r="J10" s="7">
        <f t="shared" si="2"/>
        <v>0.6</v>
      </c>
      <c r="K10" s="7">
        <f t="shared" si="3"/>
        <v>0.4375</v>
      </c>
      <c r="L10" s="1">
        <v>0.75</v>
      </c>
      <c r="M10" s="1">
        <v>1</v>
      </c>
      <c r="N10" s="1">
        <v>-125</v>
      </c>
      <c r="O10" s="1">
        <v>-150</v>
      </c>
      <c r="P10" s="1">
        <v>0</v>
      </c>
    </row>
    <row r="11" spans="1:17" ht="20.5" customHeight="1" x14ac:dyDescent="0.35">
      <c r="A11" s="1">
        <v>80</v>
      </c>
      <c r="B11" s="1">
        <v>60</v>
      </c>
      <c r="C11" s="1">
        <v>0</v>
      </c>
      <c r="D11" s="1">
        <v>355</v>
      </c>
      <c r="E11" s="1">
        <v>358</v>
      </c>
      <c r="F11" s="1">
        <f t="shared" si="0"/>
        <v>3</v>
      </c>
      <c r="G11" s="1">
        <v>305</v>
      </c>
      <c r="H11" s="1">
        <v>313</v>
      </c>
      <c r="I11" s="1">
        <f t="shared" si="1"/>
        <v>8</v>
      </c>
      <c r="J11" s="7">
        <f t="shared" si="2"/>
        <v>0.625</v>
      </c>
      <c r="K11" s="7">
        <f t="shared" si="3"/>
        <v>0.5625</v>
      </c>
      <c r="L11" s="1">
        <v>0.8</v>
      </c>
      <c r="M11" s="1">
        <v>1</v>
      </c>
      <c r="N11" s="1">
        <v>-85</v>
      </c>
      <c r="O11" s="1">
        <v>-100</v>
      </c>
      <c r="P11" s="1">
        <v>0</v>
      </c>
    </row>
    <row r="12" spans="1:17" ht="20.5" customHeight="1" x14ac:dyDescent="0.35">
      <c r="A12" s="1">
        <v>80</v>
      </c>
      <c r="B12" s="1">
        <v>30</v>
      </c>
      <c r="C12" s="1">
        <v>0</v>
      </c>
      <c r="D12" s="1">
        <v>348</v>
      </c>
      <c r="E12" s="1">
        <v>358</v>
      </c>
      <c r="F12" s="1">
        <f t="shared" si="0"/>
        <v>10</v>
      </c>
      <c r="G12" s="1">
        <v>303</v>
      </c>
      <c r="H12" s="1">
        <v>322</v>
      </c>
      <c r="I12" s="1">
        <f t="shared" si="1"/>
        <v>19</v>
      </c>
      <c r="J12" s="7">
        <f t="shared" si="2"/>
        <v>0.5625</v>
      </c>
      <c r="K12" s="7">
        <f t="shared" si="3"/>
        <v>0.45</v>
      </c>
      <c r="L12" s="1">
        <v>0.65</v>
      </c>
      <c r="M12" s="1">
        <v>1</v>
      </c>
      <c r="N12" s="1">
        <v>-160</v>
      </c>
      <c r="O12" s="1">
        <v>-200</v>
      </c>
      <c r="P12" s="1">
        <v>0</v>
      </c>
    </row>
    <row r="13" spans="1:17" ht="20.5" customHeight="1" x14ac:dyDescent="0.35">
      <c r="A13" s="2">
        <v>80</v>
      </c>
      <c r="B13" s="2">
        <v>0</v>
      </c>
      <c r="C13" s="2">
        <v>0</v>
      </c>
      <c r="D13" s="2">
        <v>360</v>
      </c>
      <c r="E13" s="2">
        <v>364</v>
      </c>
      <c r="F13" s="1">
        <f t="shared" si="0"/>
        <v>4</v>
      </c>
      <c r="G13" s="2">
        <v>303</v>
      </c>
      <c r="H13" s="2">
        <v>303.5</v>
      </c>
      <c r="I13" s="1">
        <f t="shared" si="1"/>
        <v>0.5</v>
      </c>
      <c r="J13" s="7">
        <f t="shared" si="2"/>
        <v>0.71250000000000002</v>
      </c>
      <c r="K13" s="7">
        <f t="shared" si="3"/>
        <v>0.75624999999999998</v>
      </c>
      <c r="L13" s="2">
        <v>0.7</v>
      </c>
      <c r="M13" s="2">
        <v>0.75</v>
      </c>
      <c r="N13" s="2">
        <v>-150</v>
      </c>
      <c r="O13" s="2">
        <v>-160</v>
      </c>
      <c r="P13" s="2">
        <v>-140</v>
      </c>
      <c r="Q13" t="s">
        <v>7</v>
      </c>
    </row>
    <row r="14" spans="1:17" ht="20.5" customHeight="1" x14ac:dyDescent="0.35">
      <c r="A14" s="1">
        <v>100</v>
      </c>
      <c r="B14" s="1">
        <v>90</v>
      </c>
      <c r="C14" s="1">
        <v>0</v>
      </c>
      <c r="D14" s="1">
        <v>352</v>
      </c>
      <c r="E14" s="1">
        <v>355</v>
      </c>
      <c r="F14" s="1">
        <f t="shared" si="0"/>
        <v>3</v>
      </c>
      <c r="G14" s="1">
        <v>305</v>
      </c>
      <c r="H14" s="1">
        <v>315</v>
      </c>
      <c r="I14" s="1">
        <f t="shared" si="1"/>
        <v>10</v>
      </c>
      <c r="J14" s="7">
        <f t="shared" si="2"/>
        <v>0.47</v>
      </c>
      <c r="K14" s="7">
        <f t="shared" si="3"/>
        <v>0.4</v>
      </c>
      <c r="L14" s="1">
        <v>0.72</v>
      </c>
      <c r="M14" s="1">
        <v>1</v>
      </c>
      <c r="N14" s="1">
        <v>-130</v>
      </c>
      <c r="O14" s="1">
        <v>-160</v>
      </c>
      <c r="P14" s="1">
        <v>0</v>
      </c>
    </row>
    <row r="15" spans="1:17" ht="20.5" customHeight="1" x14ac:dyDescent="0.35">
      <c r="A15" s="1">
        <v>100</v>
      </c>
      <c r="B15" s="1">
        <v>60</v>
      </c>
      <c r="C15" s="1">
        <v>0</v>
      </c>
      <c r="D15" s="1">
        <v>353</v>
      </c>
      <c r="E15" s="1">
        <v>358</v>
      </c>
      <c r="F15" s="1">
        <f t="shared" si="0"/>
        <v>5</v>
      </c>
      <c r="G15" s="1">
        <v>306</v>
      </c>
      <c r="H15" s="1">
        <v>321</v>
      </c>
      <c r="I15" s="1">
        <f t="shared" si="1"/>
        <v>15</v>
      </c>
      <c r="J15" s="7">
        <f t="shared" si="2"/>
        <v>0.47</v>
      </c>
      <c r="K15" s="7">
        <f t="shared" si="3"/>
        <v>0.37</v>
      </c>
      <c r="L15" s="1">
        <v>0.75</v>
      </c>
      <c r="M15" s="1">
        <v>1</v>
      </c>
      <c r="N15" s="1">
        <v>-120</v>
      </c>
      <c r="O15" s="1">
        <v>-130</v>
      </c>
      <c r="P15" s="1">
        <v>0</v>
      </c>
    </row>
    <row r="16" spans="1:17" ht="20.5" customHeight="1" x14ac:dyDescent="0.35">
      <c r="A16" s="1">
        <v>100</v>
      </c>
      <c r="B16" s="1">
        <v>30</v>
      </c>
      <c r="C16" s="1">
        <v>0</v>
      </c>
      <c r="D16" s="1">
        <v>346</v>
      </c>
      <c r="E16" s="1">
        <v>357</v>
      </c>
      <c r="F16" s="1">
        <f t="shared" si="0"/>
        <v>11</v>
      </c>
      <c r="G16" s="1">
        <v>306</v>
      </c>
      <c r="H16" s="1">
        <v>325</v>
      </c>
      <c r="I16" s="1">
        <f t="shared" si="1"/>
        <v>19</v>
      </c>
      <c r="J16" s="7">
        <f t="shared" si="2"/>
        <v>0.4</v>
      </c>
      <c r="K16" s="7">
        <f t="shared" si="3"/>
        <v>0.32</v>
      </c>
      <c r="L16" s="1">
        <v>0.45</v>
      </c>
      <c r="M16" s="1">
        <v>1</v>
      </c>
      <c r="N16" s="1">
        <v>-250</v>
      </c>
      <c r="O16" s="1">
        <v>-280</v>
      </c>
      <c r="P16" s="1">
        <v>0</v>
      </c>
    </row>
    <row r="17" spans="1:16" ht="20.5" customHeight="1" x14ac:dyDescent="0.35">
      <c r="A17" s="1">
        <v>100</v>
      </c>
      <c r="B17" s="1">
        <v>0</v>
      </c>
      <c r="C17" s="1">
        <v>0</v>
      </c>
      <c r="D17" s="1">
        <v>350</v>
      </c>
      <c r="E17" s="1">
        <v>385</v>
      </c>
      <c r="F17" s="1">
        <f t="shared" si="0"/>
        <v>35</v>
      </c>
      <c r="G17" s="1">
        <v>302</v>
      </c>
      <c r="H17" s="1">
        <v>306</v>
      </c>
      <c r="I17" s="1">
        <f t="shared" si="1"/>
        <v>4</v>
      </c>
      <c r="J17" s="7">
        <f t="shared" si="2"/>
        <v>0.48</v>
      </c>
      <c r="K17" s="7">
        <f t="shared" si="3"/>
        <v>0.79</v>
      </c>
      <c r="L17" s="1">
        <v>0.67</v>
      </c>
      <c r="M17" s="1">
        <v>0.69</v>
      </c>
      <c r="N17" s="1">
        <v>-270</v>
      </c>
      <c r="O17" s="1">
        <v>-370</v>
      </c>
      <c r="P17" s="1">
        <v>-240</v>
      </c>
    </row>
    <row r="18" spans="1:16" ht="20.5" customHeight="1" x14ac:dyDescent="0.35">
      <c r="A18" s="1">
        <v>120</v>
      </c>
      <c r="B18" s="1">
        <v>90</v>
      </c>
      <c r="C18" s="1">
        <v>0</v>
      </c>
      <c r="D18" s="1">
        <v>353</v>
      </c>
      <c r="E18" s="1">
        <v>356</v>
      </c>
      <c r="F18" s="1">
        <f t="shared" si="0"/>
        <v>3</v>
      </c>
      <c r="G18" s="1">
        <v>304</v>
      </c>
      <c r="H18" s="1">
        <v>315</v>
      </c>
      <c r="I18" s="1">
        <f t="shared" si="1"/>
        <v>11</v>
      </c>
      <c r="J18" s="7">
        <f t="shared" si="2"/>
        <v>0.40833333333333333</v>
      </c>
      <c r="K18" s="7">
        <f t="shared" si="3"/>
        <v>0.34166666666666667</v>
      </c>
      <c r="L18" s="1">
        <v>0.77</v>
      </c>
      <c r="M18" s="1">
        <v>1</v>
      </c>
      <c r="N18" s="1">
        <v>-100</v>
      </c>
      <c r="O18" s="1">
        <v>-130</v>
      </c>
      <c r="P18" s="1">
        <v>0</v>
      </c>
    </row>
    <row r="19" spans="1:16" ht="20.5" customHeight="1" x14ac:dyDescent="0.35">
      <c r="A19" s="1">
        <v>120</v>
      </c>
      <c r="B19" s="1">
        <v>60</v>
      </c>
      <c r="C19" s="1">
        <v>0</v>
      </c>
      <c r="D19" s="1">
        <v>353</v>
      </c>
      <c r="E19" s="1">
        <v>356</v>
      </c>
      <c r="F19" s="1">
        <f t="shared" si="0"/>
        <v>3</v>
      </c>
      <c r="G19" s="1">
        <v>307</v>
      </c>
      <c r="H19" s="1">
        <v>313</v>
      </c>
      <c r="I19" s="1">
        <f t="shared" si="1"/>
        <v>6</v>
      </c>
      <c r="J19" s="7">
        <f t="shared" si="2"/>
        <v>0.38333333333333336</v>
      </c>
      <c r="K19" s="7">
        <f t="shared" si="3"/>
        <v>0.35833333333333334</v>
      </c>
      <c r="L19" s="1">
        <v>0.8</v>
      </c>
      <c r="M19" s="1">
        <v>1</v>
      </c>
      <c r="N19" s="1">
        <v>-75</v>
      </c>
      <c r="O19" s="1">
        <v>-85</v>
      </c>
      <c r="P19" s="1">
        <v>0</v>
      </c>
    </row>
    <row r="20" spans="1:16" ht="20.5" customHeight="1" x14ac:dyDescent="0.35">
      <c r="A20" s="1">
        <v>120</v>
      </c>
      <c r="B20" s="1">
        <v>30</v>
      </c>
      <c r="C20" s="1">
        <v>0</v>
      </c>
      <c r="D20" s="1">
        <v>348</v>
      </c>
      <c r="E20" s="1">
        <v>358</v>
      </c>
      <c r="F20" s="1">
        <f t="shared" si="0"/>
        <v>10</v>
      </c>
      <c r="G20" s="1">
        <v>303</v>
      </c>
      <c r="H20" s="1">
        <v>323</v>
      </c>
      <c r="I20" s="1">
        <f t="shared" si="1"/>
        <v>20</v>
      </c>
      <c r="J20" s="7">
        <f t="shared" si="2"/>
        <v>0.375</v>
      </c>
      <c r="K20" s="7">
        <f t="shared" si="3"/>
        <v>0.29166666666666669</v>
      </c>
      <c r="L20" s="1">
        <v>0.6</v>
      </c>
      <c r="M20" s="1">
        <v>1</v>
      </c>
      <c r="N20" s="1">
        <v>-185</v>
      </c>
      <c r="O20" s="1">
        <v>-230</v>
      </c>
      <c r="P20" s="1">
        <v>0</v>
      </c>
    </row>
    <row r="21" spans="1:16" ht="20.5" customHeight="1" x14ac:dyDescent="0.35">
      <c r="A21" s="1">
        <v>120</v>
      </c>
      <c r="B21" s="1"/>
      <c r="C21" s="1"/>
      <c r="D21" s="1"/>
      <c r="E21" s="1"/>
      <c r="F21" s="1"/>
      <c r="G21" s="1"/>
      <c r="H21" s="1"/>
      <c r="I21" s="1"/>
      <c r="J21" s="7"/>
      <c r="K21" s="7"/>
      <c r="L21" s="1"/>
      <c r="M21" s="1"/>
      <c r="N21" s="1"/>
      <c r="O21" s="1"/>
      <c r="P21" s="1"/>
    </row>
  </sheetData>
  <autoFilter ref="A1:Q21" xr:uid="{352B2901-6CC7-43E4-A5A1-B7A16DFEB026}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demo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2015-06-05T18:17:20Z</dcterms:created>
  <dcterms:modified xsi:type="dcterms:W3CDTF">2025-01-19T18:21:42Z</dcterms:modified>
</cp:coreProperties>
</file>