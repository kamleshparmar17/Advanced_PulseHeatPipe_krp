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mo"/>
    <sheet r:id="rId2" sheetId="2" name="final"/>
  </sheets>
  <definedNames>
    <definedName name="_xlnm._FilterDatabase" localSheetId="0">demo!$A$1:$R$31</definedName>
    <definedName name="_xlnm._FilterDatabase" localSheetId="1">final!$A$1:$Q$36</definedName>
  </definedNames>
  <calcPr fullCalcOnLoad="1"/>
</workbook>
</file>

<file path=xl/sharedStrings.xml><?xml version="1.0" encoding="utf-8"?>
<sst xmlns="http://schemas.openxmlformats.org/spreadsheetml/2006/main" count="37" uniqueCount="21">
  <si>
    <t>Q[W]</t>
  </si>
  <si>
    <t>alpha</t>
  </si>
  <si>
    <t>beta</t>
  </si>
  <si>
    <t>Te1[K]</t>
  </si>
  <si>
    <t>Te2[K]</t>
  </si>
  <si>
    <t>dTe[K]</t>
  </si>
  <si>
    <t>Tc1[K]</t>
  </si>
  <si>
    <t>Tc2[K]</t>
  </si>
  <si>
    <t>dTc[K]</t>
  </si>
  <si>
    <t>TR1[K/W]</t>
  </si>
  <si>
    <t>TR2[K/W]</t>
  </si>
  <si>
    <t>P1[bar]</t>
  </si>
  <si>
    <t>P2[bar]</t>
  </si>
  <si>
    <t>dG1[KJ/mol]</t>
  </si>
  <si>
    <t>dGmin[KJ/mol]</t>
  </si>
  <si>
    <t>dG2[KJ/mol]</t>
  </si>
  <si>
    <t>may be leakage</t>
  </si>
  <si>
    <t>repeat</t>
  </si>
  <si>
    <t>must repeat</t>
  </si>
  <si>
    <t>Change_in_TR1[%]</t>
  </si>
  <si>
    <t>Change_in_TR2 [%]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</si>
</sst>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2" applyBorder="1" fontId="1" applyFont="1" fillId="0" applyAlignment="1">
      <alignment horizontal="right" wrapText="1"/>
    </xf>
    <xf xfId="0" numFmtId="3" applyNumberFormat="1" borderId="3" applyBorder="1" fontId="1" applyFont="1" fillId="0" applyAlignment="1">
      <alignment horizontal="right" wrapText="1"/>
    </xf>
    <xf xfId="0" numFmtId="164" applyNumberFormat="1" borderId="3" applyBorder="1" fontId="1" applyFont="1" fillId="0" applyAlignment="1">
      <alignment horizontal="right" wrapText="1"/>
    </xf>
    <xf xfId="0" numFmtId="4" applyNumberFormat="1" borderId="3" applyBorder="1" fontId="1" applyFont="1" fillId="0" applyAlignment="1">
      <alignment horizontal="right" wrapText="1"/>
    </xf>
    <xf xfId="0" numFmtId="3" applyNumberFormat="1" borderId="4" applyBorder="1" fontId="1" applyFont="1" fillId="0" applyAlignment="1">
      <alignment horizontal="right" wrapText="1"/>
    </xf>
    <xf xfId="0" numFmtId="3" applyNumberFormat="1" borderId="5" applyBorder="1" fontId="1" applyFont="1" fillId="0" applyAlignment="1">
      <alignment horizontal="right" wrapText="1"/>
    </xf>
    <xf xfId="0" numFmtId="3" applyNumberFormat="1" borderId="6" applyBorder="1" fontId="1" applyFont="1" fillId="0" applyAlignment="1">
      <alignment horizontal="right" wrapText="1"/>
    </xf>
    <xf xfId="0" numFmtId="3" applyNumberFormat="1" borderId="6" applyBorder="1" fontId="1" applyFont="1" fillId="2" applyFill="1" applyAlignment="1">
      <alignment horizontal="right" wrapText="1"/>
    </xf>
    <xf xfId="0" numFmtId="164" applyNumberFormat="1" borderId="6" applyBorder="1" fontId="1" applyFont="1" fillId="0" applyAlignment="1">
      <alignment horizontal="right" wrapText="1"/>
    </xf>
    <xf xfId="0" numFmtId="4" applyNumberFormat="1" borderId="6" applyBorder="1" fontId="1" applyFont="1" fillId="0" applyAlignment="1">
      <alignment horizontal="right" wrapText="1"/>
    </xf>
    <xf xfId="0" numFmtId="4" applyNumberFormat="1" borderId="7" applyBorder="1" fontId="1" applyFont="1" fillId="0" applyAlignment="1">
      <alignment horizontal="right" wrapText="1"/>
    </xf>
    <xf xfId="0" numFmtId="3" applyNumberFormat="1" borderId="7" applyBorder="1" fontId="1" applyFont="1" fillId="0" applyAlignment="1">
      <alignment horizontal="right" wrapText="1"/>
    </xf>
    <xf xfId="0" numFmtId="3" applyNumberFormat="1" borderId="8" applyBorder="1" fontId="1" applyFont="1" fillId="0" applyAlignment="1">
      <alignment horizontal="right" wrapText="1"/>
    </xf>
    <xf xfId="0" numFmtId="3" applyNumberFormat="1" borderId="9" applyBorder="1" fontId="1" applyFont="1" fillId="0" applyAlignment="1">
      <alignment horizontal="right" wrapText="1"/>
    </xf>
    <xf xfId="0" numFmtId="3" applyNumberFormat="1" borderId="9" applyBorder="1" fontId="1" applyFont="1" fillId="0" applyAlignment="1">
      <alignment horizontal="left" wrapText="1"/>
    </xf>
    <xf xfId="0" numFmtId="3" applyNumberFormat="1" borderId="9" applyBorder="1" fontId="1" applyFont="1" fillId="2" applyFill="1" applyAlignment="1">
      <alignment horizontal="right" wrapText="1"/>
    </xf>
    <xf xfId="0" numFmtId="164" applyNumberFormat="1" borderId="9" applyBorder="1" fontId="1" applyFont="1" fillId="0" applyAlignment="1">
      <alignment horizontal="right" wrapText="1"/>
    </xf>
    <xf xfId="0" numFmtId="4" applyNumberFormat="1" borderId="9" applyBorder="1" fontId="1" applyFont="1" fillId="0" applyAlignment="1">
      <alignment horizontal="left" wrapText="1"/>
    </xf>
    <xf xfId="0" numFmtId="3" applyNumberFormat="1" borderId="10" applyBorder="1" fontId="1" applyFont="1" fillId="0" applyAlignment="1">
      <alignment horizontal="right" wrapText="1"/>
    </xf>
    <xf xfId="0" numFmtId="3" applyNumberFormat="1" borderId="2" applyBorder="1" fontId="2" applyFont="1" fillId="0" applyAlignment="1">
      <alignment horizontal="right" wrapText="1"/>
    </xf>
    <xf xfId="0" numFmtId="3" applyNumberFormat="1" borderId="3" applyBorder="1" fontId="2" applyFont="1" fillId="0" applyAlignment="1">
      <alignment horizontal="right" wrapText="1"/>
    </xf>
    <xf xfId="0" numFmtId="3" applyNumberFormat="1" borderId="3" applyBorder="1" fontId="1" applyFont="1" fillId="0" applyAlignment="1">
      <alignment horizontal="left" wrapText="1"/>
    </xf>
    <xf xfId="0" numFmtId="3" applyNumberFormat="1" borderId="3" applyBorder="1" fontId="1" applyFont="1" fillId="2" applyFill="1" applyAlignment="1">
      <alignment horizontal="right" wrapText="1"/>
    </xf>
    <xf xfId="0" numFmtId="4" applyNumberFormat="1" borderId="3" applyBorder="1" fontId="1" applyFont="1" fillId="0" applyAlignment="1">
      <alignment horizontal="left" wrapText="1"/>
    </xf>
    <xf xfId="0" numFmtId="3" applyNumberFormat="1" borderId="8" applyBorder="1" fontId="2" applyFont="1" fillId="0" applyAlignment="1">
      <alignment horizontal="right" wrapText="1"/>
    </xf>
    <xf xfId="0" numFmtId="3" applyNumberFormat="1" borderId="9" applyBorder="1" fontId="2" applyFont="1" fillId="0" applyAlignment="1">
      <alignment horizontal="right" wrapText="1"/>
    </xf>
    <xf xfId="0" numFmtId="4" applyNumberFormat="1" borderId="9" applyBorder="1" fontId="2" applyFont="1" fillId="0" applyAlignment="1">
      <alignment horizontal="right" wrapText="1"/>
    </xf>
    <xf xfId="0" numFmtId="4" applyNumberFormat="1" borderId="9" applyBorder="1" fontId="1" applyFont="1" fillId="2" applyFill="1" applyAlignment="1">
      <alignment horizontal="right" wrapText="1"/>
    </xf>
    <xf xfId="0" numFmtId="3" applyNumberFormat="1" borderId="10" applyBorder="1" fontId="2" applyFont="1" fillId="0" applyAlignment="1">
      <alignment horizontal="right" wrapText="1"/>
    </xf>
    <xf xfId="0" numFmtId="4" applyNumberFormat="1" borderId="9" applyBorder="1" fontId="1" applyFont="1" fillId="0" applyAlignment="1">
      <alignment horizontal="right" wrapText="1"/>
    </xf>
    <xf xfId="0" numFmtId="3" applyNumberFormat="1" borderId="11" applyBorder="1" fontId="1" applyFont="1" fillId="0" applyAlignment="1">
      <alignment horizontal="right" wrapText="1"/>
    </xf>
    <xf xfId="0" numFmtId="3" applyNumberFormat="1" borderId="12" applyBorder="1" fontId="1" applyFont="1" fillId="0" applyAlignment="1">
      <alignment horizontal="right" wrapText="1"/>
    </xf>
    <xf xfId="0" numFmtId="3" applyNumberFormat="1" borderId="13" applyBorder="1" fontId="1" applyFont="1" fillId="2" applyFill="1" applyAlignment="1">
      <alignment horizontal="right" wrapText="1"/>
    </xf>
    <xf xfId="0" numFmtId="164" applyNumberFormat="1" borderId="12" applyBorder="1" fontId="1" applyFont="1" fillId="0" applyAlignment="1">
      <alignment horizontal="right" wrapText="1"/>
    </xf>
    <xf xfId="0" numFmtId="4" applyNumberFormat="1" borderId="12" applyBorder="1" fontId="1" applyFont="1" fillId="0" applyAlignment="1">
      <alignment horizontal="right" wrapText="1"/>
    </xf>
    <xf xfId="0" numFmtId="3" applyNumberFormat="1" borderId="14" applyBorder="1" fontId="1" applyFont="1" fillId="0" applyAlignment="1">
      <alignment horizontal="right" wrapText="1"/>
    </xf>
    <xf xfId="0" numFmtId="3" applyNumberFormat="1" borderId="15" applyBorder="1" fontId="1" applyFont="1" fillId="0" applyAlignment="1">
      <alignment horizontal="right"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16" applyBorder="1" fontId="1" applyFont="1" fillId="2" applyFill="1" applyAlignment="1">
      <alignment horizontal="right" wrapText="1"/>
    </xf>
    <xf xfId="0" numFmtId="164" applyNumberFormat="1" borderId="1" applyBorder="1" fontId="1" applyFont="1" fillId="0" applyAlignment="1">
      <alignment horizontal="right" wrapText="1"/>
    </xf>
    <xf xfId="0" numFmtId="3" applyNumberFormat="1" borderId="17" applyBorder="1" fontId="1" applyFont="1" fillId="0" applyAlignment="1">
      <alignment horizontal="right" wrapText="1"/>
    </xf>
    <xf xfId="0" numFmtId="0" borderId="18" applyBorder="1" fontId="1" applyFont="1" fillId="3" applyFill="1" applyAlignment="1">
      <alignment horizontal="left"/>
    </xf>
    <xf xfId="0" numFmtId="4" applyNumberFormat="1" borderId="1" applyBorder="1" fontId="1" applyFont="1" fillId="0" applyAlignment="1">
      <alignment horizontal="right" wrapText="1"/>
    </xf>
    <xf xfId="0" numFmtId="3" applyNumberFormat="1" borderId="0" fontId="0" fillId="0" applyAlignment="1">
      <alignment horizontal="right" wrapText="1"/>
    </xf>
    <xf xfId="0" numFmtId="164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0" borderId="0" fontId="0" fillId="0" applyAlignment="1">
      <alignment horizontal="general"/>
    </xf>
    <xf xfId="0" numFmtId="3" applyNumberFormat="1" borderId="6" applyBorder="1" fontId="1" applyFont="1" fillId="0" applyAlignment="1">
      <alignment horizontal="left" wrapText="1"/>
    </xf>
    <xf xfId="0" numFmtId="164" applyNumberFormat="1" borderId="6" applyBorder="1" fontId="1" applyFont="1" fillId="0" applyAlignment="1">
      <alignment horizontal="left" wrapText="1"/>
    </xf>
    <xf xfId="0" numFmtId="4" applyNumberFormat="1" borderId="6" applyBorder="1" fontId="1" applyFont="1" fillId="0" applyAlignment="1">
      <alignment horizontal="left" wrapText="1"/>
    </xf>
    <xf xfId="0" numFmtId="4" applyNumberFormat="1" borderId="19" applyBorder="1" fontId="1" applyFont="1" fillId="0" applyAlignment="1">
      <alignment horizontal="right" wrapText="1"/>
    </xf>
    <xf xfId="0" numFmtId="3" applyNumberFormat="1" borderId="6" applyBorder="1" fontId="2" applyFont="1" fillId="0" applyAlignment="1">
      <alignment horizontal="right" wrapText="1"/>
    </xf>
    <xf xfId="0" numFmtId="4" applyNumberFormat="1" borderId="6" applyBorder="1" fontId="2" applyFont="1" fillId="0" applyAlignment="1">
      <alignment horizontal="right" wrapText="1"/>
    </xf>
    <xf xfId="0" numFmtId="4" applyNumberFormat="1" borderId="6" applyBorder="1" fontId="2" applyFont="1" fillId="2" applyFill="1" applyAlignment="1">
      <alignment horizontal="right" wrapText="1"/>
    </xf>
    <xf xfId="0" numFmtId="164" applyNumberFormat="1" borderId="6" applyBorder="1" fontId="2" applyFont="1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9" width="8.576428571428572" customWidth="1" bestFit="1"/>
    <col min="2" max="2" style="49" width="8.576428571428572" customWidth="1" bestFit="1"/>
    <col min="3" max="3" style="49" width="8.576428571428572" customWidth="1" bestFit="1"/>
    <col min="4" max="4" style="49" width="9.005" customWidth="1" bestFit="1"/>
    <col min="5" max="5" style="49" width="9.005" customWidth="1" bestFit="1"/>
    <col min="6" max="6" style="49" width="9.005" customWidth="1" bestFit="1"/>
    <col min="7" max="7" style="49" width="9.005" customWidth="1" bestFit="1"/>
    <col min="8" max="8" style="49" width="9.005" customWidth="1" bestFit="1"/>
    <col min="9" max="9" style="49" width="8.576428571428572" customWidth="1" bestFit="1"/>
    <col min="10" max="10" style="50" width="10.290714285714287" customWidth="1" bestFit="1"/>
    <col min="11" max="11" style="50" width="10.43357142857143" customWidth="1" bestFit="1"/>
    <col min="12" max="12" style="50" width="10.290714285714287" customWidth="1" bestFit="1"/>
    <col min="13" max="13" style="50" width="11.290714285714287" customWidth="1" bestFit="1"/>
    <col min="14" max="14" style="51" width="8.576428571428572" customWidth="1" bestFit="1"/>
    <col min="15" max="15" style="49" width="8.576428571428572" customWidth="1" bestFit="1"/>
    <col min="16" max="16" style="49" width="11.862142857142858" customWidth="1" bestFit="1"/>
    <col min="17" max="17" style="49" width="13.576428571428572" customWidth="1" bestFit="1"/>
    <col min="18" max="18" style="49" width="11.862142857142858" customWidth="1" bestFit="1"/>
  </cols>
  <sheetData>
    <row x14ac:dyDescent="0.25" r="1" customHeight="1" ht="39.5" customFormat="1" s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4" t="s">
        <v>9</v>
      </c>
      <c r="K1" s="54" t="s">
        <v>19</v>
      </c>
      <c r="L1" s="54" t="s">
        <v>10</v>
      </c>
      <c r="M1" s="54" t="s">
        <v>20</v>
      </c>
      <c r="N1" s="55" t="s">
        <v>11</v>
      </c>
      <c r="O1" s="53" t="s">
        <v>12</v>
      </c>
      <c r="P1" s="53" t="s">
        <v>13</v>
      </c>
      <c r="Q1" s="53" t="s">
        <v>14</v>
      </c>
      <c r="R1" s="53" t="s">
        <v>15</v>
      </c>
    </row>
    <row x14ac:dyDescent="0.25" r="2" customHeight="1" ht="18.75" customFormat="1" s="1">
      <c r="A2" s="12">
        <v>40</v>
      </c>
      <c r="B2" s="12">
        <v>90</v>
      </c>
      <c r="C2" s="12">
        <v>0</v>
      </c>
      <c r="D2" s="12">
        <v>348</v>
      </c>
      <c r="E2" s="12">
        <v>352</v>
      </c>
      <c r="F2" s="12">
        <f>(E2-D2)</f>
      </c>
      <c r="G2" s="12">
        <v>306</v>
      </c>
      <c r="H2" s="12">
        <v>315</v>
      </c>
      <c r="I2" s="12">
        <f>(H2-G2)</f>
      </c>
      <c r="J2" s="14">
        <f>(D2-G2)/A2</f>
      </c>
      <c r="K2" s="56">
        <v>0</v>
      </c>
      <c r="L2" s="14">
        <f>(E2-H2)/A2</f>
      </c>
      <c r="M2" s="56">
        <v>0</v>
      </c>
      <c r="N2" s="15">
        <v>0.62</v>
      </c>
      <c r="O2" s="15">
        <v>0.75</v>
      </c>
      <c r="P2" s="12">
        <v>-155</v>
      </c>
      <c r="Q2" s="12">
        <v>-190</v>
      </c>
      <c r="R2" s="12">
        <v>-100</v>
      </c>
    </row>
    <row x14ac:dyDescent="0.25" r="3" customHeight="1" ht="18.75" customFormat="1" s="1">
      <c r="A3" s="12">
        <v>40</v>
      </c>
      <c r="B3" s="12">
        <v>60</v>
      </c>
      <c r="C3" s="12">
        <v>0</v>
      </c>
      <c r="D3" s="12">
        <v>349</v>
      </c>
      <c r="E3" s="12">
        <v>357</v>
      </c>
      <c r="F3" s="12">
        <f>(E3-D3)</f>
      </c>
      <c r="G3" s="12">
        <v>304</v>
      </c>
      <c r="H3" s="12">
        <v>305</v>
      </c>
      <c r="I3" s="13">
        <f>(H3-G3)</f>
      </c>
      <c r="J3" s="14">
        <f>(D3-G3)/A3</f>
      </c>
      <c r="K3" s="14">
        <f>(J2-J3)/J2</f>
      </c>
      <c r="L3" s="14">
        <f>(E3-H3)/A3</f>
      </c>
      <c r="M3" s="14">
        <f>(L2-L3)/L2</f>
      </c>
      <c r="N3" s="15">
        <v>0.7</v>
      </c>
      <c r="O3" s="15">
        <v>0.8</v>
      </c>
      <c r="P3" s="12">
        <v>-140</v>
      </c>
      <c r="Q3" s="12">
        <v>-160</v>
      </c>
      <c r="R3" s="15">
        <v>-0.85</v>
      </c>
    </row>
    <row x14ac:dyDescent="0.25" r="4" customHeight="1" ht="18.75" customFormat="1" s="1">
      <c r="A4" s="12">
        <v>40</v>
      </c>
      <c r="B4" s="12">
        <v>30</v>
      </c>
      <c r="C4" s="12">
        <v>0</v>
      </c>
      <c r="D4" s="12">
        <v>349</v>
      </c>
      <c r="E4" s="15">
        <v>358.5</v>
      </c>
      <c r="F4" s="15">
        <f>(E4-D4)</f>
      </c>
      <c r="G4" s="12">
        <v>304</v>
      </c>
      <c r="H4" s="12">
        <v>306</v>
      </c>
      <c r="I4" s="13">
        <f>(H4-G4)</f>
      </c>
      <c r="J4" s="14">
        <f>(D4-G4)/A4</f>
      </c>
      <c r="K4" s="14">
        <f>(J2-J4)/J2</f>
      </c>
      <c r="L4" s="14">
        <f>(E4-H4)/A4</f>
      </c>
      <c r="M4" s="14">
        <f>(L2-L4)/L2</f>
      </c>
      <c r="N4" s="15">
        <v>0.7</v>
      </c>
      <c r="O4" s="15">
        <v>0.83</v>
      </c>
      <c r="P4" s="12">
        <v>-130</v>
      </c>
      <c r="Q4" s="12">
        <v>-150</v>
      </c>
      <c r="R4" s="12">
        <v>-90</v>
      </c>
    </row>
    <row x14ac:dyDescent="0.25" r="5" customHeight="1" ht="18.75" customFormat="1" s="1">
      <c r="A5" s="12">
        <v>60</v>
      </c>
      <c r="B5" s="12">
        <v>60</v>
      </c>
      <c r="C5" s="12">
        <v>0</v>
      </c>
      <c r="D5" s="12">
        <v>350</v>
      </c>
      <c r="E5" s="12">
        <v>355</v>
      </c>
      <c r="F5" s="12">
        <f>(E5-D5)</f>
      </c>
      <c r="G5" s="12">
        <v>303</v>
      </c>
      <c r="H5" s="12">
        <v>319</v>
      </c>
      <c r="I5" s="13">
        <f>(H5-G5)</f>
      </c>
      <c r="J5" s="14">
        <f>(D5-G5)/A5</f>
      </c>
      <c r="K5" s="14"/>
      <c r="L5" s="14">
        <f>(E6-H6)/A6</f>
      </c>
      <c r="M5" s="14"/>
      <c r="N5" s="15">
        <v>0.65</v>
      </c>
      <c r="O5" s="12">
        <v>1</v>
      </c>
      <c r="P5" s="12">
        <v>-160</v>
      </c>
      <c r="Q5" s="12">
        <v>-180</v>
      </c>
      <c r="R5" s="12">
        <v>0</v>
      </c>
    </row>
    <row x14ac:dyDescent="0.25" r="6" customHeight="1" ht="18.75" customFormat="1" s="1">
      <c r="A6" s="12">
        <v>60</v>
      </c>
      <c r="B6" s="12">
        <v>30</v>
      </c>
      <c r="C6" s="12">
        <v>0</v>
      </c>
      <c r="D6" s="12">
        <v>350</v>
      </c>
      <c r="E6" s="12">
        <v>359</v>
      </c>
      <c r="F6" s="12">
        <f>(E6-D6)</f>
      </c>
      <c r="G6" s="12">
        <v>305</v>
      </c>
      <c r="H6" s="12">
        <v>321</v>
      </c>
      <c r="I6" s="13">
        <f>(H6-G6)</f>
      </c>
      <c r="J6" s="14">
        <f>(D6-G6)/A6</f>
      </c>
      <c r="K6" s="14"/>
      <c r="L6" s="14">
        <f>(E7-H7)/A7</f>
      </c>
      <c r="M6" s="14"/>
      <c r="N6" s="15">
        <v>0.75</v>
      </c>
      <c r="O6" s="12">
        <v>1</v>
      </c>
      <c r="P6" s="12">
        <v>-120</v>
      </c>
      <c r="Q6" s="12">
        <v>-150</v>
      </c>
      <c r="R6" s="12">
        <v>0</v>
      </c>
    </row>
    <row x14ac:dyDescent="0.25" r="7" customHeight="1" ht="18.75" customFormat="1" s="1">
      <c r="A7" s="12">
        <v>80</v>
      </c>
      <c r="B7" s="12">
        <v>90</v>
      </c>
      <c r="C7" s="12">
        <v>0</v>
      </c>
      <c r="D7" s="12">
        <v>350</v>
      </c>
      <c r="E7" s="12">
        <v>355</v>
      </c>
      <c r="F7" s="12">
        <f>(E7-D7)</f>
      </c>
      <c r="G7" s="12">
        <v>302</v>
      </c>
      <c r="H7" s="12">
        <v>320</v>
      </c>
      <c r="I7" s="13">
        <f>(H7-G7)</f>
      </c>
      <c r="J7" s="14">
        <f>(D7-G7)/A7</f>
      </c>
      <c r="K7" s="15">
        <v>0</v>
      </c>
      <c r="L7" s="14">
        <f>(E8-H8)/A8</f>
      </c>
      <c r="M7" s="15">
        <v>0</v>
      </c>
      <c r="N7" s="15">
        <v>0.75</v>
      </c>
      <c r="O7" s="12">
        <v>1</v>
      </c>
      <c r="P7" s="12">
        <v>-125</v>
      </c>
      <c r="Q7" s="12">
        <v>-150</v>
      </c>
      <c r="R7" s="12">
        <v>0</v>
      </c>
    </row>
    <row x14ac:dyDescent="0.25" r="8" customHeight="1" ht="18.75" customFormat="1" s="1">
      <c r="A8" s="12">
        <v>80</v>
      </c>
      <c r="B8" s="12">
        <v>60</v>
      </c>
      <c r="C8" s="12">
        <v>0</v>
      </c>
      <c r="D8" s="12">
        <v>355</v>
      </c>
      <c r="E8" s="12">
        <v>358</v>
      </c>
      <c r="F8" s="12">
        <f>(E8-D8)</f>
      </c>
      <c r="G8" s="12">
        <v>305</v>
      </c>
      <c r="H8" s="12">
        <v>313</v>
      </c>
      <c r="I8" s="13">
        <f>(H8-G8)</f>
      </c>
      <c r="J8" s="14">
        <f>(D8-G8)/A8</f>
      </c>
      <c r="K8" s="14">
        <f>(J7-J8)/J7</f>
      </c>
      <c r="L8" s="14">
        <f>(E9-H9)/A9</f>
      </c>
      <c r="M8" s="14">
        <f>(L7-L8)/L7</f>
      </c>
      <c r="N8" s="15">
        <v>0.8</v>
      </c>
      <c r="O8" s="12">
        <v>1</v>
      </c>
      <c r="P8" s="12">
        <v>-85</v>
      </c>
      <c r="Q8" s="12">
        <v>-100</v>
      </c>
      <c r="R8" s="12">
        <v>0</v>
      </c>
    </row>
    <row x14ac:dyDescent="0.25" r="9" customHeight="1" ht="18.75" customFormat="1" s="1">
      <c r="A9" s="12">
        <v>80</v>
      </c>
      <c r="B9" s="12">
        <v>30</v>
      </c>
      <c r="C9" s="12">
        <v>0</v>
      </c>
      <c r="D9" s="12">
        <v>348</v>
      </c>
      <c r="E9" s="12">
        <v>358</v>
      </c>
      <c r="F9" s="12">
        <f>(E9-D9)</f>
      </c>
      <c r="G9" s="12">
        <v>303</v>
      </c>
      <c r="H9" s="12">
        <v>322</v>
      </c>
      <c r="I9" s="13">
        <f>(H9-G9)</f>
      </c>
      <c r="J9" s="14">
        <f>(D9-G9)/A9</f>
      </c>
      <c r="K9" s="14">
        <f>(J7-J9)/J7</f>
      </c>
      <c r="L9" s="14">
        <f>(E10-H10)/A10</f>
      </c>
      <c r="M9" s="14">
        <f>(L7-L9)/L7</f>
      </c>
      <c r="N9" s="15">
        <v>0.65</v>
      </c>
      <c r="O9" s="12">
        <v>1</v>
      </c>
      <c r="P9" s="12">
        <v>-160</v>
      </c>
      <c r="Q9" s="12">
        <v>-200</v>
      </c>
      <c r="R9" s="12">
        <v>0</v>
      </c>
    </row>
    <row x14ac:dyDescent="0.25" r="10" customHeight="1" ht="19.5" customFormat="1" s="1">
      <c r="A10" s="57">
        <v>80</v>
      </c>
      <c r="B10" s="57">
        <v>0</v>
      </c>
      <c r="C10" s="57">
        <v>0</v>
      </c>
      <c r="D10" s="57">
        <v>360</v>
      </c>
      <c r="E10" s="57">
        <v>364</v>
      </c>
      <c r="F10" s="57">
        <f>(E10-D10)</f>
      </c>
      <c r="G10" s="57">
        <v>303</v>
      </c>
      <c r="H10" s="58">
        <v>303.5</v>
      </c>
      <c r="I10" s="59">
        <f>(H10-G10)</f>
      </c>
      <c r="J10" s="60">
        <f>(D10-G10)/A10</f>
      </c>
      <c r="K10" s="60">
        <f>(J7-J10)/J7</f>
      </c>
      <c r="L10" s="60">
        <f>(E11-H11)/A11</f>
      </c>
      <c r="M10" s="60">
        <f>(L7-L10)/L7</f>
      </c>
      <c r="N10" s="58">
        <v>0.7</v>
      </c>
      <c r="O10" s="58">
        <v>0.75</v>
      </c>
      <c r="P10" s="57">
        <v>-150</v>
      </c>
      <c r="Q10" s="57">
        <v>-160</v>
      </c>
      <c r="R10" s="57">
        <v>-140</v>
      </c>
    </row>
    <row x14ac:dyDescent="0.25" r="11" customHeight="1" ht="18.75" customFormat="1" s="1">
      <c r="A11" s="12">
        <v>100</v>
      </c>
      <c r="B11" s="12">
        <v>90</v>
      </c>
      <c r="C11" s="12">
        <v>0</v>
      </c>
      <c r="D11" s="12">
        <v>352</v>
      </c>
      <c r="E11" s="12">
        <v>355</v>
      </c>
      <c r="F11" s="12">
        <f>(E11-D11)</f>
      </c>
      <c r="G11" s="12">
        <v>305</v>
      </c>
      <c r="H11" s="12">
        <v>315</v>
      </c>
      <c r="I11" s="13">
        <f>(H11-G11)</f>
      </c>
      <c r="J11" s="14">
        <f>(D11-G11)/A11</f>
      </c>
      <c r="K11" s="14">
        <v>0</v>
      </c>
      <c r="L11" s="14">
        <f>(E12-H12)/A12</f>
      </c>
      <c r="M11" s="14">
        <v>0</v>
      </c>
      <c r="N11" s="15">
        <v>0.72</v>
      </c>
      <c r="O11" s="12">
        <v>1</v>
      </c>
      <c r="P11" s="12">
        <v>-130</v>
      </c>
      <c r="Q11" s="12">
        <v>-160</v>
      </c>
      <c r="R11" s="12">
        <v>0</v>
      </c>
    </row>
    <row x14ac:dyDescent="0.25" r="12" customHeight="1" ht="18.75" customFormat="1" s="1">
      <c r="A12" s="12">
        <v>100</v>
      </c>
      <c r="B12" s="12">
        <v>60</v>
      </c>
      <c r="C12" s="12">
        <v>0</v>
      </c>
      <c r="D12" s="12">
        <v>353</v>
      </c>
      <c r="E12" s="12">
        <v>358</v>
      </c>
      <c r="F12" s="12">
        <f>(E12-D12)</f>
      </c>
      <c r="G12" s="12">
        <v>306</v>
      </c>
      <c r="H12" s="12">
        <v>321</v>
      </c>
      <c r="I12" s="13">
        <f>(H12-G12)</f>
      </c>
      <c r="J12" s="14">
        <f>(D12-G12)/A12</f>
      </c>
      <c r="K12" s="14">
        <f>(J11-J12)/J11</f>
      </c>
      <c r="L12" s="14">
        <f>(E13-H13)/A13</f>
      </c>
      <c r="M12" s="14">
        <f>(L11-L12)/L11</f>
      </c>
      <c r="N12" s="15">
        <v>0.75</v>
      </c>
      <c r="O12" s="12">
        <v>1</v>
      </c>
      <c r="P12" s="12">
        <v>-120</v>
      </c>
      <c r="Q12" s="12">
        <v>-130</v>
      </c>
      <c r="R12" s="12">
        <v>0</v>
      </c>
    </row>
    <row x14ac:dyDescent="0.25" r="13" customHeight="1" ht="18.75" customFormat="1" s="1">
      <c r="A13" s="12">
        <v>100</v>
      </c>
      <c r="B13" s="12">
        <v>30</v>
      </c>
      <c r="C13" s="12">
        <v>0</v>
      </c>
      <c r="D13" s="12">
        <v>346</v>
      </c>
      <c r="E13" s="12">
        <v>357</v>
      </c>
      <c r="F13" s="12">
        <f>(E13-D13)</f>
      </c>
      <c r="G13" s="12">
        <v>306</v>
      </c>
      <c r="H13" s="12">
        <v>325</v>
      </c>
      <c r="I13" s="13">
        <f>(H13-G13)</f>
      </c>
      <c r="J13" s="14">
        <f>(D13-G13)/A13</f>
      </c>
      <c r="K13" s="14">
        <f>(J11-J13)/J11</f>
      </c>
      <c r="L13" s="14">
        <f>(E14-H14)/A14</f>
      </c>
      <c r="M13" s="14">
        <f>(L11-L13)/L11</f>
      </c>
      <c r="N13" s="15">
        <v>0.45</v>
      </c>
      <c r="O13" s="12">
        <v>1</v>
      </c>
      <c r="P13" s="12">
        <v>-250</v>
      </c>
      <c r="Q13" s="12">
        <v>-280</v>
      </c>
      <c r="R13" s="12">
        <v>0</v>
      </c>
    </row>
    <row x14ac:dyDescent="0.25" r="14" customHeight="1" ht="18.75" customFormat="1" s="1">
      <c r="A14" s="12">
        <v>100</v>
      </c>
      <c r="B14" s="12">
        <v>0</v>
      </c>
      <c r="C14" s="12">
        <v>0</v>
      </c>
      <c r="D14" s="12">
        <v>350</v>
      </c>
      <c r="E14" s="12">
        <v>385</v>
      </c>
      <c r="F14" s="12">
        <f>(E14-D14)</f>
      </c>
      <c r="G14" s="12">
        <v>302</v>
      </c>
      <c r="H14" s="12">
        <v>306</v>
      </c>
      <c r="I14" s="13">
        <f>(H14-G14)</f>
      </c>
      <c r="J14" s="14">
        <f>(D14-G14)/A14</f>
      </c>
      <c r="K14" s="14">
        <f>(J11-J14)/J11</f>
      </c>
      <c r="L14" s="14">
        <f>(E15-H15)/A15</f>
      </c>
      <c r="M14" s="14">
        <f>(L11-L14)/L11</f>
      </c>
      <c r="N14" s="15">
        <v>0.67</v>
      </c>
      <c r="O14" s="15">
        <v>0.69</v>
      </c>
      <c r="P14" s="12">
        <v>-270</v>
      </c>
      <c r="Q14" s="12">
        <v>-370</v>
      </c>
      <c r="R14" s="12">
        <v>-240</v>
      </c>
    </row>
    <row x14ac:dyDescent="0.25" r="15" customHeight="1" ht="18.75" customFormat="1" s="1">
      <c r="A15" s="12">
        <v>120</v>
      </c>
      <c r="B15" s="12">
        <v>90</v>
      </c>
      <c r="C15" s="12">
        <v>0</v>
      </c>
      <c r="D15" s="12">
        <v>353</v>
      </c>
      <c r="E15" s="12">
        <v>356</v>
      </c>
      <c r="F15" s="12">
        <f>(E15-D15)</f>
      </c>
      <c r="G15" s="12">
        <v>304</v>
      </c>
      <c r="H15" s="12">
        <v>315</v>
      </c>
      <c r="I15" s="13">
        <f>(H15-G15)</f>
      </c>
      <c r="J15" s="14">
        <f>(D15-G15)/A15</f>
      </c>
      <c r="K15" s="14">
        <v>0</v>
      </c>
      <c r="L15" s="14">
        <f>(E16-H16)/A16</f>
      </c>
      <c r="M15" s="14">
        <v>0</v>
      </c>
      <c r="N15" s="15">
        <v>0.77</v>
      </c>
      <c r="O15" s="12">
        <v>1</v>
      </c>
      <c r="P15" s="12">
        <v>-100</v>
      </c>
      <c r="Q15" s="12">
        <v>-130</v>
      </c>
      <c r="R15" s="12">
        <v>0</v>
      </c>
    </row>
    <row x14ac:dyDescent="0.25" r="16" customHeight="1" ht="18.75" customFormat="1" s="1">
      <c r="A16" s="12">
        <v>120</v>
      </c>
      <c r="B16" s="12">
        <v>60</v>
      </c>
      <c r="C16" s="12">
        <v>0</v>
      </c>
      <c r="D16" s="12">
        <v>353</v>
      </c>
      <c r="E16" s="12">
        <v>356</v>
      </c>
      <c r="F16" s="12">
        <f>(E16-D16)</f>
      </c>
      <c r="G16" s="12">
        <v>307</v>
      </c>
      <c r="H16" s="12">
        <v>313</v>
      </c>
      <c r="I16" s="13">
        <f>(H16-G16)</f>
      </c>
      <c r="J16" s="14">
        <f>(D16-G16)/A16</f>
      </c>
      <c r="K16" s="14">
        <f>(J15-J16)/J15</f>
      </c>
      <c r="L16" s="14">
        <f>(E17-H17)/A17</f>
      </c>
      <c r="M16" s="14">
        <f>(L15-L16)/L15</f>
      </c>
      <c r="N16" s="15">
        <v>0.8</v>
      </c>
      <c r="O16" s="12">
        <v>1</v>
      </c>
      <c r="P16" s="12">
        <v>-75</v>
      </c>
      <c r="Q16" s="12">
        <v>-85</v>
      </c>
      <c r="R16" s="12">
        <v>0</v>
      </c>
    </row>
    <row x14ac:dyDescent="0.25" r="17" customHeight="1" ht="18.75" customFormat="1" s="1">
      <c r="A17" s="12">
        <v>120</v>
      </c>
      <c r="B17" s="12">
        <v>30</v>
      </c>
      <c r="C17" s="12">
        <v>0</v>
      </c>
      <c r="D17" s="12">
        <v>348</v>
      </c>
      <c r="E17" s="12">
        <v>358</v>
      </c>
      <c r="F17" s="12">
        <f>(E17-D17)</f>
      </c>
      <c r="G17" s="12">
        <v>303</v>
      </c>
      <c r="H17" s="12">
        <v>323</v>
      </c>
      <c r="I17" s="13">
        <f>(H17-G17)</f>
      </c>
      <c r="J17" s="14">
        <f>(D17-G17)/A17</f>
      </c>
      <c r="K17" s="14">
        <f>(J15-J17)/J15</f>
      </c>
      <c r="L17" s="14">
        <f>(E18-H18)/A18</f>
      </c>
      <c r="M17" s="14">
        <f>(L15-L17)/L15</f>
      </c>
      <c r="N17" s="15">
        <v>0.6</v>
      </c>
      <c r="O17" s="12">
        <v>1</v>
      </c>
      <c r="P17" s="12">
        <v>-185</v>
      </c>
      <c r="Q17" s="12">
        <v>-230</v>
      </c>
      <c r="R17" s="12">
        <v>0</v>
      </c>
    </row>
    <row x14ac:dyDescent="0.25" r="18" customHeight="1" ht="18.75" customFormat="1" s="1">
      <c r="A18" s="12">
        <v>40</v>
      </c>
      <c r="B18" s="12">
        <v>90</v>
      </c>
      <c r="C18" s="12">
        <v>90</v>
      </c>
      <c r="D18" s="12">
        <v>342</v>
      </c>
      <c r="E18" s="12">
        <v>355</v>
      </c>
      <c r="F18" s="12">
        <f>(E18-D18)</f>
      </c>
      <c r="G18" s="15">
        <v>304.5</v>
      </c>
      <c r="H18" s="15">
        <v>305.5</v>
      </c>
      <c r="I18" s="13">
        <f>(H18-G18)</f>
      </c>
      <c r="J18" s="14">
        <f>(D18-G18)/A18</f>
      </c>
      <c r="K18" s="14">
        <f>(J2-J18)/J2</f>
      </c>
      <c r="L18" s="14">
        <f>(E18-H18)/A18</f>
      </c>
      <c r="M18" s="14">
        <f>(L2-L18)/L2</f>
      </c>
      <c r="N18" s="15">
        <v>0.5</v>
      </c>
      <c r="O18" s="15">
        <v>0.58</v>
      </c>
      <c r="P18" s="12">
        <v>-220</v>
      </c>
      <c r="Q18" s="12">
        <v>-235</v>
      </c>
      <c r="R18" s="12">
        <v>-225</v>
      </c>
    </row>
    <row x14ac:dyDescent="0.25" r="19" customHeight="1" ht="18.75" customFormat="1" s="1">
      <c r="A19" s="12">
        <v>40</v>
      </c>
      <c r="B19" s="12">
        <v>90</v>
      </c>
      <c r="C19" s="12">
        <v>60</v>
      </c>
      <c r="D19" s="12">
        <v>347</v>
      </c>
      <c r="E19" s="12">
        <v>352</v>
      </c>
      <c r="F19" s="12">
        <f>(E19-D19)</f>
      </c>
      <c r="G19" s="12">
        <v>305</v>
      </c>
      <c r="H19" s="12">
        <v>307</v>
      </c>
      <c r="I19" s="13">
        <f>(H19-G19)</f>
      </c>
      <c r="J19" s="14">
        <f>(D19-G19)/A19</f>
      </c>
      <c r="K19" s="14">
        <f>(J2-J19)/J2</f>
      </c>
      <c r="L19" s="14">
        <f>(E19-H19)/A19</f>
      </c>
      <c r="M19" s="14">
        <f>(L2-L19)/L2</f>
      </c>
      <c r="N19" s="15">
        <v>0.6</v>
      </c>
      <c r="O19" s="15">
        <v>0.72</v>
      </c>
      <c r="P19" s="12">
        <v>-175</v>
      </c>
      <c r="Q19" s="12">
        <v>-190</v>
      </c>
      <c r="R19" s="12">
        <v>-120</v>
      </c>
    </row>
    <row x14ac:dyDescent="0.25" r="20" customHeight="1" ht="18.75" customFormat="1" s="1">
      <c r="A20" s="12">
        <v>40</v>
      </c>
      <c r="B20" s="12">
        <v>90</v>
      </c>
      <c r="C20" s="12">
        <v>30</v>
      </c>
      <c r="D20" s="12">
        <v>350</v>
      </c>
      <c r="E20" s="12">
        <v>354</v>
      </c>
      <c r="F20" s="12">
        <f>(E20-D20)</f>
      </c>
      <c r="G20" s="12">
        <v>305</v>
      </c>
      <c r="H20" s="12">
        <v>306</v>
      </c>
      <c r="I20" s="13">
        <f>(H20-G20)</f>
      </c>
      <c r="J20" s="14">
        <f>(D20-G20)/A20</f>
      </c>
      <c r="K20" s="14">
        <f>(J2-J20)/J2</f>
      </c>
      <c r="L20" s="14">
        <f>(E20-H20)/A20</f>
      </c>
      <c r="M20" s="14">
        <f>(L2-L20)/L2</f>
      </c>
      <c r="N20" s="15">
        <v>0.55</v>
      </c>
      <c r="O20" s="15">
        <v>0.6</v>
      </c>
      <c r="P20" s="12">
        <v>-230</v>
      </c>
      <c r="Q20" s="12">
        <v>-240</v>
      </c>
      <c r="R20" s="12">
        <v>-220</v>
      </c>
    </row>
    <row x14ac:dyDescent="0.25" r="21" customHeight="1" ht="18.75" customFormat="1" s="1">
      <c r="A21" s="12">
        <v>60</v>
      </c>
      <c r="B21" s="12">
        <v>90</v>
      </c>
      <c r="C21" s="12">
        <v>90</v>
      </c>
      <c r="D21" s="12">
        <v>345</v>
      </c>
      <c r="E21" s="12">
        <v>368</v>
      </c>
      <c r="F21" s="12">
        <f>(E21-D21)</f>
      </c>
      <c r="G21" s="15">
        <v>304.5</v>
      </c>
      <c r="H21" s="15">
        <v>307.5</v>
      </c>
      <c r="I21" s="13">
        <f>(H21-G21)</f>
      </c>
      <c r="J21" s="14">
        <f>(D21-G21)/A21</f>
      </c>
      <c r="K21" s="14"/>
      <c r="L21" s="14">
        <f>(E21-H21)/A21</f>
      </c>
      <c r="M21" s="14"/>
      <c r="N21" s="15">
        <v>0.62</v>
      </c>
      <c r="O21" s="15">
        <v>0.8</v>
      </c>
      <c r="P21" s="12">
        <v>-155</v>
      </c>
      <c r="Q21" s="12">
        <v>-175</v>
      </c>
      <c r="R21" s="12">
        <v>-90</v>
      </c>
    </row>
    <row x14ac:dyDescent="0.25" r="22" customHeight="1" ht="18.75" customFormat="1" s="1">
      <c r="A22" s="12">
        <v>60</v>
      </c>
      <c r="B22" s="12">
        <v>90</v>
      </c>
      <c r="C22" s="12">
        <v>60</v>
      </c>
      <c r="D22" s="12">
        <v>342</v>
      </c>
      <c r="E22" s="12">
        <v>351</v>
      </c>
      <c r="F22" s="12">
        <f>(E22-D22)</f>
      </c>
      <c r="G22" s="12">
        <v>305</v>
      </c>
      <c r="H22" s="12">
        <v>320</v>
      </c>
      <c r="I22" s="13">
        <f>(H22-G22)</f>
      </c>
      <c r="J22" s="14">
        <f>(D22-G22)/A22</f>
      </c>
      <c r="K22" s="14"/>
      <c r="L22" s="14">
        <f>(E22-H22)/A22</f>
      </c>
      <c r="M22" s="14"/>
      <c r="N22" s="15">
        <v>0.5</v>
      </c>
      <c r="O22" s="15">
        <v>0.74</v>
      </c>
      <c r="P22" s="12">
        <v>-220</v>
      </c>
      <c r="Q22" s="12">
        <v>-225</v>
      </c>
      <c r="R22" s="12">
        <v>-75</v>
      </c>
    </row>
    <row x14ac:dyDescent="0.25" r="23" customHeight="1" ht="18.75" customFormat="1" s="1">
      <c r="A23" s="12">
        <v>60</v>
      </c>
      <c r="B23" s="12">
        <v>90</v>
      </c>
      <c r="C23" s="12">
        <v>30</v>
      </c>
      <c r="D23" s="12">
        <v>351</v>
      </c>
      <c r="E23" s="12">
        <v>354</v>
      </c>
      <c r="F23" s="12">
        <f>(E23-D23)</f>
      </c>
      <c r="G23" s="12">
        <v>307</v>
      </c>
      <c r="H23" s="12">
        <v>319</v>
      </c>
      <c r="I23" s="13">
        <f>(H23-G23)</f>
      </c>
      <c r="J23" s="14">
        <f>(D23-G23)/A23</f>
      </c>
      <c r="K23" s="14"/>
      <c r="L23" s="14">
        <f>(E23-H23)/A23</f>
      </c>
      <c r="M23" s="14"/>
      <c r="N23" s="15">
        <v>0.68</v>
      </c>
      <c r="O23" s="15">
        <v>0.78</v>
      </c>
      <c r="P23" s="12">
        <v>-130</v>
      </c>
      <c r="Q23" s="12">
        <v>-260</v>
      </c>
      <c r="R23" s="12">
        <v>-70</v>
      </c>
    </row>
    <row x14ac:dyDescent="0.25" r="24" customHeight="1" ht="20" customFormat="1" s="1">
      <c r="A24" s="12">
        <v>80</v>
      </c>
      <c r="B24" s="12">
        <v>90</v>
      </c>
      <c r="C24" s="12">
        <v>60</v>
      </c>
      <c r="D24" s="12">
        <v>348</v>
      </c>
      <c r="E24" s="12">
        <v>360</v>
      </c>
      <c r="F24" s="12">
        <f>(E24-D24)</f>
      </c>
      <c r="G24" s="12">
        <v>304</v>
      </c>
      <c r="H24" s="12">
        <v>329</v>
      </c>
      <c r="I24" s="13">
        <f>(H24-G24)</f>
      </c>
      <c r="J24" s="14">
        <f>(D24-G24)/A24</f>
      </c>
      <c r="K24" s="14">
        <f>(J7-J24)/J7</f>
      </c>
      <c r="L24" s="14">
        <f>(E24-H24)/A24</f>
      </c>
      <c r="M24" s="14">
        <f>(L7-L24)/L7</f>
      </c>
      <c r="N24" s="15">
        <v>0.62</v>
      </c>
      <c r="O24" s="12">
        <v>1</v>
      </c>
      <c r="P24" s="12">
        <v>-160</v>
      </c>
      <c r="Q24" s="12">
        <v>-230</v>
      </c>
      <c r="R24" s="12">
        <v>0</v>
      </c>
    </row>
    <row x14ac:dyDescent="0.25" r="25" customHeight="1" ht="20" customFormat="1" s="1">
      <c r="A25" s="12">
        <v>80</v>
      </c>
      <c r="B25" s="12">
        <v>90</v>
      </c>
      <c r="C25" s="12">
        <v>30</v>
      </c>
      <c r="D25" s="12">
        <v>346</v>
      </c>
      <c r="E25" s="12">
        <v>354</v>
      </c>
      <c r="F25" s="12">
        <f>(E25-D25)</f>
      </c>
      <c r="G25" s="12">
        <v>304</v>
      </c>
      <c r="H25" s="12">
        <v>326</v>
      </c>
      <c r="I25" s="13">
        <f>(H25-G25)</f>
      </c>
      <c r="J25" s="14">
        <f>(D25-G25)/A25</f>
      </c>
      <c r="K25" s="14">
        <f>(J7-J25)/J7</f>
      </c>
      <c r="L25" s="14">
        <f>(E25-H25)/A25</f>
      </c>
      <c r="M25" s="14">
        <f>(L7-L25)/L7</f>
      </c>
      <c r="N25" s="15">
        <v>0.46</v>
      </c>
      <c r="O25" s="15">
        <v>0.92</v>
      </c>
      <c r="P25" s="12">
        <v>-255</v>
      </c>
      <c r="Q25" s="12">
        <v>-300</v>
      </c>
      <c r="R25" s="12">
        <v>-20</v>
      </c>
    </row>
    <row x14ac:dyDescent="0.25" r="26" customHeight="1" ht="20" customFormat="1" s="1">
      <c r="A26" s="12">
        <v>100</v>
      </c>
      <c r="B26" s="12">
        <v>90</v>
      </c>
      <c r="C26" s="12">
        <v>90</v>
      </c>
      <c r="D26" s="12">
        <v>352</v>
      </c>
      <c r="E26" s="12">
        <v>374</v>
      </c>
      <c r="F26" s="12">
        <f>(E26-D26)</f>
      </c>
      <c r="G26" s="12">
        <v>306</v>
      </c>
      <c r="H26" s="12">
        <v>308</v>
      </c>
      <c r="I26" s="13">
        <f>(H26-G26)</f>
      </c>
      <c r="J26" s="14">
        <f>(D26-G26)/A26</f>
      </c>
      <c r="K26" s="14">
        <f>(J11-J26)/J11</f>
      </c>
      <c r="L26" s="14">
        <f>(E26-H26)/A26</f>
      </c>
      <c r="M26" s="14">
        <f>(L11-L26)/L11</f>
      </c>
      <c r="N26" s="15">
        <v>0.55</v>
      </c>
      <c r="O26" s="12">
        <v>1</v>
      </c>
      <c r="P26" s="12">
        <v>-150</v>
      </c>
      <c r="Q26" s="12">
        <v>-170</v>
      </c>
      <c r="R26" s="12">
        <v>0</v>
      </c>
    </row>
    <row x14ac:dyDescent="0.25" r="27" customHeight="1" ht="20" customFormat="1" s="1">
      <c r="A27" s="12">
        <v>100</v>
      </c>
      <c r="B27" s="12">
        <v>90</v>
      </c>
      <c r="C27" s="12">
        <v>60</v>
      </c>
      <c r="D27" s="12">
        <v>341</v>
      </c>
      <c r="E27" s="12">
        <v>357</v>
      </c>
      <c r="F27" s="12">
        <f>(E27-D27)</f>
      </c>
      <c r="G27" s="12">
        <v>302</v>
      </c>
      <c r="H27" s="12">
        <v>330</v>
      </c>
      <c r="I27" s="13">
        <f>(H27-G27)</f>
      </c>
      <c r="J27" s="14">
        <f>(D27-G27)/A27</f>
      </c>
      <c r="K27" s="14">
        <f>(J11-J27)/J11</f>
      </c>
      <c r="L27" s="14">
        <f>(E27-H27)/A27</f>
      </c>
      <c r="M27" s="14">
        <f>(L11-L27)/L11</f>
      </c>
      <c r="N27" s="15">
        <v>0.48</v>
      </c>
      <c r="O27" s="12">
        <v>1</v>
      </c>
      <c r="P27" s="12">
        <v>-220</v>
      </c>
      <c r="Q27" s="12">
        <v>-250</v>
      </c>
      <c r="R27" s="12">
        <v>0</v>
      </c>
    </row>
    <row x14ac:dyDescent="0.25" r="28" customHeight="1" ht="20" customFormat="1" s="1">
      <c r="A28" s="12">
        <v>100</v>
      </c>
      <c r="B28" s="12">
        <v>90</v>
      </c>
      <c r="C28" s="12">
        <v>30</v>
      </c>
      <c r="D28" s="12">
        <v>346</v>
      </c>
      <c r="E28" s="12">
        <v>355</v>
      </c>
      <c r="F28" s="12">
        <f>(E28-D28)</f>
      </c>
      <c r="G28" s="12">
        <v>306</v>
      </c>
      <c r="H28" s="12">
        <v>329</v>
      </c>
      <c r="I28" s="13">
        <f>(H28-G28)</f>
      </c>
      <c r="J28" s="14">
        <f>(D28-G28)/A28</f>
      </c>
      <c r="K28" s="14">
        <f>(J11-J28)/J11</f>
      </c>
      <c r="L28" s="14">
        <f>(E28-H28)/A28</f>
      </c>
      <c r="M28" s="14">
        <f>(L11-L28)/L11</f>
      </c>
      <c r="N28" s="15">
        <v>0.6</v>
      </c>
      <c r="O28" s="12">
        <v>1</v>
      </c>
      <c r="P28" s="12">
        <v>-150</v>
      </c>
      <c r="Q28" s="12">
        <v>-210</v>
      </c>
      <c r="R28" s="12">
        <v>0</v>
      </c>
    </row>
    <row x14ac:dyDescent="0.25" r="29" customHeight="1" ht="20" customFormat="1" s="1">
      <c r="A29" s="12">
        <v>120</v>
      </c>
      <c r="B29" s="12">
        <v>90</v>
      </c>
      <c r="C29" s="12">
        <v>90</v>
      </c>
      <c r="D29" s="12">
        <v>354</v>
      </c>
      <c r="E29" s="12">
        <v>370</v>
      </c>
      <c r="F29" s="12">
        <f>(E29-D29)</f>
      </c>
      <c r="G29" s="12">
        <v>304</v>
      </c>
      <c r="H29" s="12">
        <v>314</v>
      </c>
      <c r="I29" s="13">
        <f>(H29-G29)</f>
      </c>
      <c r="J29" s="14">
        <f>(D29-G29)/A29</f>
      </c>
      <c r="K29" s="14">
        <f>(J15-J29)/J15</f>
      </c>
      <c r="L29" s="14">
        <f>(E29-H29)/A29</f>
      </c>
      <c r="M29" s="14">
        <f>(L15-L29)/L15</f>
      </c>
      <c r="N29" s="15">
        <v>0.6</v>
      </c>
      <c r="O29" s="12">
        <v>1</v>
      </c>
      <c r="P29" s="12">
        <v>215</v>
      </c>
      <c r="Q29" s="12">
        <v>-230</v>
      </c>
      <c r="R29" s="12">
        <v>0</v>
      </c>
    </row>
    <row x14ac:dyDescent="0.25" r="30" customHeight="1" ht="20" customFormat="1" s="1">
      <c r="A30" s="12">
        <v>120</v>
      </c>
      <c r="B30" s="12">
        <v>90</v>
      </c>
      <c r="C30" s="12">
        <v>60</v>
      </c>
      <c r="D30" s="12">
        <v>342</v>
      </c>
      <c r="E30" s="12">
        <v>355</v>
      </c>
      <c r="F30" s="12">
        <f>(E30-D30)</f>
      </c>
      <c r="G30" s="12">
        <v>302</v>
      </c>
      <c r="H30" s="12">
        <v>330</v>
      </c>
      <c r="I30" s="13">
        <f>(H30-G30)</f>
      </c>
      <c r="J30" s="14">
        <f>(D30-G30)/A30</f>
      </c>
      <c r="K30" s="14">
        <f>(J15-J30)/J15</f>
      </c>
      <c r="L30" s="14">
        <f>(E30-H30)/A30</f>
      </c>
      <c r="M30" s="14">
        <f>(L15-L30)/L15</f>
      </c>
      <c r="N30" s="15">
        <v>0.54</v>
      </c>
      <c r="O30" s="12">
        <v>1</v>
      </c>
      <c r="P30" s="12">
        <v>-215</v>
      </c>
      <c r="Q30" s="12">
        <v>-230</v>
      </c>
      <c r="R30" s="12">
        <v>0</v>
      </c>
    </row>
    <row x14ac:dyDescent="0.25" r="31" customHeight="1" ht="20" customFormat="1" s="1">
      <c r="A31" s="12">
        <v>120</v>
      </c>
      <c r="B31" s="12">
        <v>90</v>
      </c>
      <c r="C31" s="12">
        <v>30</v>
      </c>
      <c r="D31" s="12">
        <v>343</v>
      </c>
      <c r="E31" s="12">
        <v>355</v>
      </c>
      <c r="F31" s="12">
        <f>(E31-D31)</f>
      </c>
      <c r="G31" s="12">
        <v>304</v>
      </c>
      <c r="H31" s="12">
        <v>327</v>
      </c>
      <c r="I31" s="13">
        <f>(H31-G31)</f>
      </c>
      <c r="J31" s="14">
        <f>(D31-G31)/A31</f>
      </c>
      <c r="K31" s="14">
        <f>(J15-J31)/J15</f>
      </c>
      <c r="L31" s="14">
        <f>(E31-H31)/A31</f>
      </c>
      <c r="M31" s="14">
        <f>(L15-L31)/L15</f>
      </c>
      <c r="N31" s="15">
        <v>0.52</v>
      </c>
      <c r="O31" s="12">
        <v>1</v>
      </c>
      <c r="P31" s="12">
        <v>-200</v>
      </c>
      <c r="Q31" s="12">
        <v>-250</v>
      </c>
      <c r="R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9" width="8.576428571428572" customWidth="1" bestFit="1"/>
    <col min="2" max="2" style="49" width="8.576428571428572" customWidth="1" bestFit="1"/>
    <col min="3" max="3" style="49" width="8.576428571428572" customWidth="1" bestFit="1"/>
    <col min="4" max="4" style="49" width="9.005" customWidth="1" bestFit="1"/>
    <col min="5" max="5" style="49" width="9.005" customWidth="1" bestFit="1"/>
    <col min="6" max="6" style="49" width="9.005" customWidth="1" bestFit="1"/>
    <col min="7" max="7" style="49" width="9.005" customWidth="1" bestFit="1"/>
    <col min="8" max="8" style="49" width="9.005" customWidth="1" bestFit="1"/>
    <col min="9" max="9" style="49" width="8.576428571428572" customWidth="1" bestFit="1"/>
    <col min="10" max="10" style="50" width="10.290714285714287" customWidth="1" bestFit="1"/>
    <col min="11" max="11" style="50" width="10.290714285714287" customWidth="1" bestFit="1"/>
    <col min="12" max="12" style="51" width="8.576428571428572" customWidth="1" bestFit="1"/>
    <col min="13" max="13" style="49" width="8.576428571428572" customWidth="1" bestFit="1"/>
    <col min="14" max="14" style="49" width="11.862142857142858" customWidth="1" bestFit="1"/>
    <col min="15" max="15" style="49" width="13.576428571428572" customWidth="1" bestFit="1"/>
    <col min="16" max="16" style="49" width="11.862142857142858" customWidth="1" bestFit="1"/>
    <col min="17" max="17" style="52" width="14.43357142857143" customWidth="1" bestFit="1"/>
  </cols>
  <sheetData>
    <row x14ac:dyDescent="0.25" r="1" customHeight="1" ht="3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/>
    </row>
    <row x14ac:dyDescent="0.25" r="2" customHeight="1" ht="20.5" customFormat="1" s="1">
      <c r="A2" s="6">
        <v>40</v>
      </c>
      <c r="B2" s="7">
        <v>90</v>
      </c>
      <c r="C2" s="7">
        <v>0</v>
      </c>
      <c r="D2" s="7">
        <v>348</v>
      </c>
      <c r="E2" s="7">
        <v>352</v>
      </c>
      <c r="F2" s="7">
        <f>(E2-D2)</f>
      </c>
      <c r="G2" s="7">
        <v>306</v>
      </c>
      <c r="H2" s="7">
        <v>315</v>
      </c>
      <c r="I2" s="7">
        <f>(H2-G2)</f>
      </c>
      <c r="J2" s="8">
        <f>(D2-G2)/A2</f>
      </c>
      <c r="K2" s="8">
        <f>(E2-H2)/A2</f>
      </c>
      <c r="L2" s="9">
        <v>0.62</v>
      </c>
      <c r="M2" s="9">
        <v>0.75</v>
      </c>
      <c r="N2" s="7">
        <v>-155</v>
      </c>
      <c r="O2" s="7">
        <v>-190</v>
      </c>
      <c r="P2" s="10">
        <v>-100</v>
      </c>
      <c r="Q2" s="5"/>
    </row>
    <row x14ac:dyDescent="0.25" r="3" customHeight="1" ht="20.5" customFormat="1" s="1">
      <c r="A3" s="11">
        <v>40</v>
      </c>
      <c r="B3" s="12">
        <v>60</v>
      </c>
      <c r="C3" s="12">
        <v>0</v>
      </c>
      <c r="D3" s="12">
        <v>349</v>
      </c>
      <c r="E3" s="12">
        <v>357</v>
      </c>
      <c r="F3" s="12">
        <f>(E3-D3)</f>
      </c>
      <c r="G3" s="12">
        <v>304</v>
      </c>
      <c r="H3" s="12">
        <v>305</v>
      </c>
      <c r="I3" s="13">
        <f>(H3-G3)</f>
      </c>
      <c r="J3" s="14">
        <f>(D3-G3)/A3</f>
      </c>
      <c r="K3" s="14">
        <f>(E3-H3)/A3</f>
      </c>
      <c r="L3" s="15">
        <v>0.7</v>
      </c>
      <c r="M3" s="15">
        <v>0.8</v>
      </c>
      <c r="N3" s="12">
        <v>-140</v>
      </c>
      <c r="O3" s="12">
        <v>-160</v>
      </c>
      <c r="P3" s="16">
        <v>-0.85</v>
      </c>
      <c r="Q3" s="5"/>
    </row>
    <row x14ac:dyDescent="0.25" r="4" customHeight="1" ht="20.5" customFormat="1" s="1">
      <c r="A4" s="11">
        <v>40</v>
      </c>
      <c r="B4" s="12">
        <v>30</v>
      </c>
      <c r="C4" s="12">
        <v>0</v>
      </c>
      <c r="D4" s="12">
        <v>349</v>
      </c>
      <c r="E4" s="15">
        <v>358.5</v>
      </c>
      <c r="F4" s="15">
        <f>(E4-D4)</f>
      </c>
      <c r="G4" s="12">
        <v>304</v>
      </c>
      <c r="H4" s="12">
        <v>306</v>
      </c>
      <c r="I4" s="13">
        <f>(H4-G4)</f>
      </c>
      <c r="J4" s="14">
        <f>(D4-G4)/A4</f>
      </c>
      <c r="K4" s="14">
        <f>(E4-H4)/A4</f>
      </c>
      <c r="L4" s="15">
        <v>0.7</v>
      </c>
      <c r="M4" s="15">
        <v>0.83</v>
      </c>
      <c r="N4" s="12">
        <v>-130</v>
      </c>
      <c r="O4" s="12">
        <v>-150</v>
      </c>
      <c r="P4" s="17">
        <v>-90</v>
      </c>
      <c r="Q4" s="5"/>
    </row>
    <row x14ac:dyDescent="0.25" r="5" customHeight="1" ht="20.5" customFormat="1" s="1">
      <c r="A5" s="18">
        <v>40</v>
      </c>
      <c r="B5" s="19">
        <v>0</v>
      </c>
      <c r="C5" s="19">
        <v>0</v>
      </c>
      <c r="D5" s="20"/>
      <c r="E5" s="20"/>
      <c r="F5" s="19">
        <f>(E5-D5)</f>
      </c>
      <c r="G5" s="20"/>
      <c r="H5" s="20"/>
      <c r="I5" s="21">
        <f>(H5-G5)</f>
      </c>
      <c r="J5" s="22">
        <f>(D5-G5)/A5</f>
      </c>
      <c r="K5" s="22">
        <f>(E5-H5)/A5</f>
      </c>
      <c r="L5" s="23"/>
      <c r="M5" s="19">
        <v>1</v>
      </c>
      <c r="N5" s="20"/>
      <c r="O5" s="20"/>
      <c r="P5" s="24">
        <v>0</v>
      </c>
      <c r="Q5" s="5"/>
    </row>
    <row x14ac:dyDescent="0.25" r="6" customHeight="1" ht="20.5" customFormat="1" s="1">
      <c r="A6" s="25">
        <v>60</v>
      </c>
      <c r="B6" s="26">
        <v>90</v>
      </c>
      <c r="C6" s="26">
        <v>0</v>
      </c>
      <c r="D6" s="27"/>
      <c r="E6" s="27"/>
      <c r="F6" s="7">
        <f>(E6-D6)</f>
      </c>
      <c r="G6" s="27"/>
      <c r="H6" s="27"/>
      <c r="I6" s="28">
        <f>(H6-G6)</f>
      </c>
      <c r="J6" s="8">
        <f>(D6-G6)/A6</f>
      </c>
      <c r="K6" s="8">
        <f>(E6-H6)/A6</f>
      </c>
      <c r="L6" s="29"/>
      <c r="M6" s="7">
        <v>1</v>
      </c>
      <c r="N6" s="27"/>
      <c r="O6" s="27"/>
      <c r="P6" s="10">
        <v>0</v>
      </c>
      <c r="Q6" s="5" t="s">
        <v>16</v>
      </c>
    </row>
    <row x14ac:dyDescent="0.25" r="7" customHeight="1" ht="20.5" customFormat="1" s="1">
      <c r="A7" s="11">
        <v>60</v>
      </c>
      <c r="B7" s="12">
        <v>60</v>
      </c>
      <c r="C7" s="12">
        <v>0</v>
      </c>
      <c r="D7" s="12">
        <v>350</v>
      </c>
      <c r="E7" s="12">
        <v>355</v>
      </c>
      <c r="F7" s="12">
        <f>(E7-D7)</f>
      </c>
      <c r="G7" s="12">
        <v>303</v>
      </c>
      <c r="H7" s="12">
        <v>319</v>
      </c>
      <c r="I7" s="13">
        <f>(H7-G7)</f>
      </c>
      <c r="J7" s="14">
        <f>(D7-G7)/A7</f>
      </c>
      <c r="K7" s="14">
        <f>(E7-H7)/A7</f>
      </c>
      <c r="L7" s="15">
        <v>0.65</v>
      </c>
      <c r="M7" s="12">
        <v>1</v>
      </c>
      <c r="N7" s="12">
        <v>-160</v>
      </c>
      <c r="O7" s="12">
        <v>-180</v>
      </c>
      <c r="P7" s="17">
        <v>0</v>
      </c>
      <c r="Q7" s="5"/>
    </row>
    <row x14ac:dyDescent="0.25" r="8" customHeight="1" ht="20.5" customFormat="1" s="1">
      <c r="A8" s="11">
        <v>60</v>
      </c>
      <c r="B8" s="12">
        <v>30</v>
      </c>
      <c r="C8" s="12">
        <v>0</v>
      </c>
      <c r="D8" s="12">
        <v>350</v>
      </c>
      <c r="E8" s="12">
        <v>359</v>
      </c>
      <c r="F8" s="12">
        <f>(E8-D8)</f>
      </c>
      <c r="G8" s="12">
        <v>305</v>
      </c>
      <c r="H8" s="12">
        <v>321</v>
      </c>
      <c r="I8" s="13">
        <f>(H8-G8)</f>
      </c>
      <c r="J8" s="14">
        <f>(D8-G8)/A8</f>
      </c>
      <c r="K8" s="14">
        <f>(E8-H8)/A8</f>
      </c>
      <c r="L8" s="15">
        <v>0.75</v>
      </c>
      <c r="M8" s="12">
        <v>1</v>
      </c>
      <c r="N8" s="12">
        <v>-120</v>
      </c>
      <c r="O8" s="12">
        <v>-150</v>
      </c>
      <c r="P8" s="17">
        <v>0</v>
      </c>
      <c r="Q8" s="5"/>
    </row>
    <row x14ac:dyDescent="0.25" r="9" customHeight="1" ht="20.5" customFormat="1" s="1">
      <c r="A9" s="18">
        <v>60</v>
      </c>
      <c r="B9" s="19">
        <v>0</v>
      </c>
      <c r="C9" s="19">
        <v>0</v>
      </c>
      <c r="D9" s="20"/>
      <c r="E9" s="20"/>
      <c r="F9" s="19">
        <f>(E9-D9)</f>
      </c>
      <c r="G9" s="20"/>
      <c r="H9" s="20"/>
      <c r="I9" s="21">
        <f>(H9-G9)</f>
      </c>
      <c r="J9" s="22">
        <f>(D9-G9)/A9</f>
      </c>
      <c r="K9" s="22">
        <f>(E9-H9)/A9</f>
      </c>
      <c r="L9" s="23"/>
      <c r="M9" s="19">
        <v>1</v>
      </c>
      <c r="N9" s="20"/>
      <c r="O9" s="20"/>
      <c r="P9" s="24">
        <v>0</v>
      </c>
      <c r="Q9" s="5"/>
    </row>
    <row x14ac:dyDescent="0.25" r="10" customHeight="1" ht="20.5" customFormat="1" s="1">
      <c r="A10" s="6">
        <v>80</v>
      </c>
      <c r="B10" s="7">
        <v>90</v>
      </c>
      <c r="C10" s="7">
        <v>0</v>
      </c>
      <c r="D10" s="7">
        <v>350</v>
      </c>
      <c r="E10" s="7">
        <v>355</v>
      </c>
      <c r="F10" s="7">
        <f>(E10-D10)</f>
      </c>
      <c r="G10" s="7">
        <v>302</v>
      </c>
      <c r="H10" s="7">
        <v>320</v>
      </c>
      <c r="I10" s="28">
        <f>(H10-G10)</f>
      </c>
      <c r="J10" s="8">
        <f>(D10-G10)/A10</f>
      </c>
      <c r="K10" s="8">
        <f>(E10-H10)/A10</f>
      </c>
      <c r="L10" s="9">
        <v>0.75</v>
      </c>
      <c r="M10" s="7">
        <v>1</v>
      </c>
      <c r="N10" s="7">
        <v>-125</v>
      </c>
      <c r="O10" s="7">
        <v>-150</v>
      </c>
      <c r="P10" s="10">
        <v>0</v>
      </c>
      <c r="Q10" s="5"/>
    </row>
    <row x14ac:dyDescent="0.25" r="11" customHeight="1" ht="20.5" customFormat="1" s="1">
      <c r="A11" s="11">
        <v>80</v>
      </c>
      <c r="B11" s="12">
        <v>60</v>
      </c>
      <c r="C11" s="12">
        <v>0</v>
      </c>
      <c r="D11" s="12">
        <v>355</v>
      </c>
      <c r="E11" s="12">
        <v>358</v>
      </c>
      <c r="F11" s="12">
        <f>(E11-D11)</f>
      </c>
      <c r="G11" s="12">
        <v>305</v>
      </c>
      <c r="H11" s="12">
        <v>313</v>
      </c>
      <c r="I11" s="13">
        <f>(H11-G11)</f>
      </c>
      <c r="J11" s="14">
        <f>(D11-G11)/A11</f>
      </c>
      <c r="K11" s="14">
        <f>(E11-H11)/A11</f>
      </c>
      <c r="L11" s="15">
        <v>0.8</v>
      </c>
      <c r="M11" s="12">
        <v>1</v>
      </c>
      <c r="N11" s="12">
        <v>-85</v>
      </c>
      <c r="O11" s="12">
        <v>-100</v>
      </c>
      <c r="P11" s="17">
        <v>0</v>
      </c>
      <c r="Q11" s="5"/>
    </row>
    <row x14ac:dyDescent="0.25" r="12" customHeight="1" ht="20.5" customFormat="1" s="1">
      <c r="A12" s="11">
        <v>80</v>
      </c>
      <c r="B12" s="12">
        <v>30</v>
      </c>
      <c r="C12" s="12">
        <v>0</v>
      </c>
      <c r="D12" s="12">
        <v>348</v>
      </c>
      <c r="E12" s="12">
        <v>358</v>
      </c>
      <c r="F12" s="12">
        <f>(E12-D12)</f>
      </c>
      <c r="G12" s="12">
        <v>303</v>
      </c>
      <c r="H12" s="12">
        <v>322</v>
      </c>
      <c r="I12" s="13">
        <f>(H12-G12)</f>
      </c>
      <c r="J12" s="14">
        <f>(D12-G12)/A12</f>
      </c>
      <c r="K12" s="14">
        <f>(E12-H12)/A12</f>
      </c>
      <c r="L12" s="15">
        <v>0.65</v>
      </c>
      <c r="M12" s="12">
        <v>1</v>
      </c>
      <c r="N12" s="12">
        <v>-160</v>
      </c>
      <c r="O12" s="12">
        <v>-200</v>
      </c>
      <c r="P12" s="17">
        <v>0</v>
      </c>
      <c r="Q12" s="5"/>
    </row>
    <row x14ac:dyDescent="0.25" r="13" customHeight="1" ht="20.5" customFormat="1" s="1">
      <c r="A13" s="30">
        <v>80</v>
      </c>
      <c r="B13" s="31">
        <v>0</v>
      </c>
      <c r="C13" s="31">
        <v>0</v>
      </c>
      <c r="D13" s="31">
        <v>360</v>
      </c>
      <c r="E13" s="31">
        <v>364</v>
      </c>
      <c r="F13" s="31">
        <f>(E13-D13)</f>
      </c>
      <c r="G13" s="31">
        <v>303</v>
      </c>
      <c r="H13" s="32">
        <v>303.5</v>
      </c>
      <c r="I13" s="33">
        <f>(H13-G13)</f>
      </c>
      <c r="J13" s="22">
        <f>(D13-G13)/A13</f>
      </c>
      <c r="K13" s="22">
        <f>(E13-H13)/A13</f>
      </c>
      <c r="L13" s="32">
        <v>0.7</v>
      </c>
      <c r="M13" s="32">
        <v>0.75</v>
      </c>
      <c r="N13" s="31">
        <v>-150</v>
      </c>
      <c r="O13" s="31">
        <v>-160</v>
      </c>
      <c r="P13" s="34">
        <v>-140</v>
      </c>
      <c r="Q13" s="5" t="s">
        <v>17</v>
      </c>
    </row>
    <row x14ac:dyDescent="0.25" r="14" customHeight="1" ht="20.5" customFormat="1" s="1">
      <c r="A14" s="6">
        <v>100</v>
      </c>
      <c r="B14" s="7">
        <v>90</v>
      </c>
      <c r="C14" s="7">
        <v>0</v>
      </c>
      <c r="D14" s="7">
        <v>352</v>
      </c>
      <c r="E14" s="7">
        <v>355</v>
      </c>
      <c r="F14" s="7">
        <f>(E14-D14)</f>
      </c>
      <c r="G14" s="7">
        <v>305</v>
      </c>
      <c r="H14" s="7">
        <v>315</v>
      </c>
      <c r="I14" s="28">
        <f>(H14-G14)</f>
      </c>
      <c r="J14" s="8">
        <f>(D14-G14)/A14</f>
      </c>
      <c r="K14" s="8">
        <f>(E14-H14)/A14</f>
      </c>
      <c r="L14" s="9">
        <v>0.72</v>
      </c>
      <c r="M14" s="7">
        <v>1</v>
      </c>
      <c r="N14" s="7">
        <v>-130</v>
      </c>
      <c r="O14" s="7">
        <v>-160</v>
      </c>
      <c r="P14" s="10">
        <v>0</v>
      </c>
      <c r="Q14" s="5"/>
    </row>
    <row x14ac:dyDescent="0.25" r="15" customHeight="1" ht="20.5" customFormat="1" s="1">
      <c r="A15" s="11">
        <v>100</v>
      </c>
      <c r="B15" s="12">
        <v>60</v>
      </c>
      <c r="C15" s="12">
        <v>0</v>
      </c>
      <c r="D15" s="12">
        <v>353</v>
      </c>
      <c r="E15" s="12">
        <v>358</v>
      </c>
      <c r="F15" s="12">
        <f>(E15-D15)</f>
      </c>
      <c r="G15" s="12">
        <v>306</v>
      </c>
      <c r="H15" s="12">
        <v>321</v>
      </c>
      <c r="I15" s="13">
        <f>(H15-G15)</f>
      </c>
      <c r="J15" s="14">
        <f>(D15-G15)/A15</f>
      </c>
      <c r="K15" s="14">
        <f>(E15-H15)/A15</f>
      </c>
      <c r="L15" s="15">
        <v>0.75</v>
      </c>
      <c r="M15" s="12">
        <v>1</v>
      </c>
      <c r="N15" s="12">
        <v>-120</v>
      </c>
      <c r="O15" s="12">
        <v>-130</v>
      </c>
      <c r="P15" s="17">
        <v>0</v>
      </c>
      <c r="Q15" s="5"/>
    </row>
    <row x14ac:dyDescent="0.25" r="16" customHeight="1" ht="20.5" customFormat="1" s="1">
      <c r="A16" s="11">
        <v>100</v>
      </c>
      <c r="B16" s="12">
        <v>30</v>
      </c>
      <c r="C16" s="12">
        <v>0</v>
      </c>
      <c r="D16" s="12">
        <v>346</v>
      </c>
      <c r="E16" s="12">
        <v>357</v>
      </c>
      <c r="F16" s="12">
        <f>(E16-D16)</f>
      </c>
      <c r="G16" s="12">
        <v>306</v>
      </c>
      <c r="H16" s="12">
        <v>325</v>
      </c>
      <c r="I16" s="13">
        <f>(H16-G16)</f>
      </c>
      <c r="J16" s="14">
        <f>(D16-G16)/A16</f>
      </c>
      <c r="K16" s="14">
        <f>(E16-H16)/A16</f>
      </c>
      <c r="L16" s="15">
        <v>0.45</v>
      </c>
      <c r="M16" s="12">
        <v>1</v>
      </c>
      <c r="N16" s="12">
        <v>-250</v>
      </c>
      <c r="O16" s="12">
        <v>-280</v>
      </c>
      <c r="P16" s="17">
        <v>0</v>
      </c>
      <c r="Q16" s="5"/>
    </row>
    <row x14ac:dyDescent="0.25" r="17" customHeight="1" ht="20.5" customFormat="1" s="1">
      <c r="A17" s="18">
        <v>100</v>
      </c>
      <c r="B17" s="19">
        <v>0</v>
      </c>
      <c r="C17" s="19">
        <v>0</v>
      </c>
      <c r="D17" s="19">
        <v>350</v>
      </c>
      <c r="E17" s="19">
        <v>385</v>
      </c>
      <c r="F17" s="19">
        <f>(E17-D17)</f>
      </c>
      <c r="G17" s="19">
        <v>302</v>
      </c>
      <c r="H17" s="19">
        <v>306</v>
      </c>
      <c r="I17" s="21">
        <f>(H17-G17)</f>
      </c>
      <c r="J17" s="22">
        <f>(D17-G17)/A17</f>
      </c>
      <c r="K17" s="22">
        <f>(E17-H17)/A17</f>
      </c>
      <c r="L17" s="35">
        <v>0.67</v>
      </c>
      <c r="M17" s="35">
        <v>0.69</v>
      </c>
      <c r="N17" s="19">
        <v>-270</v>
      </c>
      <c r="O17" s="19">
        <v>-370</v>
      </c>
      <c r="P17" s="24">
        <v>-240</v>
      </c>
      <c r="Q17" s="5"/>
    </row>
    <row x14ac:dyDescent="0.25" r="18" customHeight="1" ht="20.5" customFormat="1" s="1">
      <c r="A18" s="36">
        <v>120</v>
      </c>
      <c r="B18" s="37">
        <v>90</v>
      </c>
      <c r="C18" s="37">
        <v>0</v>
      </c>
      <c r="D18" s="37">
        <v>353</v>
      </c>
      <c r="E18" s="37">
        <v>356</v>
      </c>
      <c r="F18" s="37">
        <f>(E18-D18)</f>
      </c>
      <c r="G18" s="37">
        <v>304</v>
      </c>
      <c r="H18" s="37">
        <v>315</v>
      </c>
      <c r="I18" s="38">
        <f>(H18-G18)</f>
      </c>
      <c r="J18" s="39">
        <f>(D18-G18)/A18</f>
      </c>
      <c r="K18" s="39">
        <f>(E18-H18)/A18</f>
      </c>
      <c r="L18" s="40">
        <v>0.77</v>
      </c>
      <c r="M18" s="37">
        <v>1</v>
      </c>
      <c r="N18" s="37">
        <v>-100</v>
      </c>
      <c r="O18" s="37">
        <v>-130</v>
      </c>
      <c r="P18" s="41">
        <v>0</v>
      </c>
      <c r="Q18" s="5"/>
    </row>
    <row x14ac:dyDescent="0.25" r="19" customHeight="1" ht="20.5" customFormat="1" s="1">
      <c r="A19" s="11">
        <v>120</v>
      </c>
      <c r="B19" s="12">
        <v>60</v>
      </c>
      <c r="C19" s="12">
        <v>0</v>
      </c>
      <c r="D19" s="12">
        <v>353</v>
      </c>
      <c r="E19" s="12">
        <v>356</v>
      </c>
      <c r="F19" s="12">
        <f>(E19-D19)</f>
      </c>
      <c r="G19" s="12">
        <v>307</v>
      </c>
      <c r="H19" s="12">
        <v>313</v>
      </c>
      <c r="I19" s="13">
        <f>(H19-G19)</f>
      </c>
      <c r="J19" s="14">
        <f>(D19-G19)/A19</f>
      </c>
      <c r="K19" s="14">
        <f>(E19-H19)/A19</f>
      </c>
      <c r="L19" s="15">
        <v>0.8</v>
      </c>
      <c r="M19" s="12">
        <v>1</v>
      </c>
      <c r="N19" s="12">
        <v>-75</v>
      </c>
      <c r="O19" s="12">
        <v>-85</v>
      </c>
      <c r="P19" s="17">
        <v>0</v>
      </c>
      <c r="Q19" s="5"/>
    </row>
    <row x14ac:dyDescent="0.25" r="20" customHeight="1" ht="20" customFormat="1" s="1">
      <c r="A20" s="11">
        <v>120</v>
      </c>
      <c r="B20" s="12">
        <v>30</v>
      </c>
      <c r="C20" s="12">
        <v>0</v>
      </c>
      <c r="D20" s="12">
        <v>348</v>
      </c>
      <c r="E20" s="12">
        <v>358</v>
      </c>
      <c r="F20" s="12">
        <f>(E20-D20)</f>
      </c>
      <c r="G20" s="12">
        <v>303</v>
      </c>
      <c r="H20" s="12">
        <v>323</v>
      </c>
      <c r="I20" s="13">
        <f>(H20-G20)</f>
      </c>
      <c r="J20" s="14">
        <f>(D20-G20)/A20</f>
      </c>
      <c r="K20" s="14">
        <f>(E20-H20)/A20</f>
      </c>
      <c r="L20" s="15">
        <v>0.6</v>
      </c>
      <c r="M20" s="12">
        <v>1</v>
      </c>
      <c r="N20" s="12">
        <v>-185</v>
      </c>
      <c r="O20" s="12">
        <v>-230</v>
      </c>
      <c r="P20" s="17">
        <v>0</v>
      </c>
      <c r="Q20" s="5"/>
    </row>
    <row x14ac:dyDescent="0.25" r="21" customHeight="1" ht="20" customFormat="1" s="1">
      <c r="A21" s="42">
        <v>120</v>
      </c>
      <c r="B21" s="43">
        <v>0</v>
      </c>
      <c r="C21" s="43">
        <v>0</v>
      </c>
      <c r="D21" s="2"/>
      <c r="E21" s="2"/>
      <c r="F21" s="43">
        <f>(E21-D21)</f>
      </c>
      <c r="G21" s="2"/>
      <c r="H21" s="2"/>
      <c r="I21" s="44">
        <f>(H21-G21)</f>
      </c>
      <c r="J21" s="45">
        <f>(D21-G21)/A21</f>
      </c>
      <c r="K21" s="45">
        <f>(E21-H21)/A21</f>
      </c>
      <c r="L21" s="4"/>
      <c r="M21" s="43">
        <v>1</v>
      </c>
      <c r="N21" s="2"/>
      <c r="O21" s="2"/>
      <c r="P21" s="46">
        <v>0</v>
      </c>
      <c r="Q21" s="5"/>
    </row>
    <row x14ac:dyDescent="0.25" r="22" customHeight="1" ht="20" customFormat="1" s="1">
      <c r="A22" s="6">
        <v>40</v>
      </c>
      <c r="B22" s="7">
        <v>90</v>
      </c>
      <c r="C22" s="7">
        <v>90</v>
      </c>
      <c r="D22" s="7">
        <v>342</v>
      </c>
      <c r="E22" s="7">
        <v>355</v>
      </c>
      <c r="F22" s="7">
        <f>(E22-D22)</f>
      </c>
      <c r="G22" s="9">
        <v>304.5</v>
      </c>
      <c r="H22" s="9">
        <v>305.5</v>
      </c>
      <c r="I22" s="28">
        <f>(H22-G22)</f>
      </c>
      <c r="J22" s="8">
        <f>(D22-G22)/A22</f>
      </c>
      <c r="K22" s="8">
        <f>(E22-H22)/A22</f>
      </c>
      <c r="L22" s="9">
        <v>0.5</v>
      </c>
      <c r="M22" s="9">
        <v>0.58</v>
      </c>
      <c r="N22" s="7">
        <v>-220</v>
      </c>
      <c r="O22" s="7">
        <v>-235</v>
      </c>
      <c r="P22" s="10">
        <v>-225</v>
      </c>
      <c r="Q22" s="5"/>
    </row>
    <row x14ac:dyDescent="0.25" r="23" customHeight="1" ht="20" customFormat="1" s="1">
      <c r="A23" s="11">
        <v>40</v>
      </c>
      <c r="B23" s="12">
        <v>90</v>
      </c>
      <c r="C23" s="12">
        <v>60</v>
      </c>
      <c r="D23" s="12">
        <v>347</v>
      </c>
      <c r="E23" s="12">
        <v>352</v>
      </c>
      <c r="F23" s="12">
        <f>(E23-D23)</f>
      </c>
      <c r="G23" s="12">
        <v>305</v>
      </c>
      <c r="H23" s="12">
        <v>307</v>
      </c>
      <c r="I23" s="13">
        <f>(H23-G23)</f>
      </c>
      <c r="J23" s="14">
        <f>(D23-G23)/A23</f>
      </c>
      <c r="K23" s="14">
        <f>(E23-H23)/A23</f>
      </c>
      <c r="L23" s="15">
        <v>0.6</v>
      </c>
      <c r="M23" s="15">
        <v>0.72</v>
      </c>
      <c r="N23" s="12">
        <v>-175</v>
      </c>
      <c r="O23" s="12">
        <v>-190</v>
      </c>
      <c r="P23" s="17">
        <v>-120</v>
      </c>
      <c r="Q23" s="5"/>
    </row>
    <row x14ac:dyDescent="0.25" r="24" customHeight="1" ht="20" customFormat="1" s="1">
      <c r="A24" s="18">
        <v>40</v>
      </c>
      <c r="B24" s="19">
        <v>90</v>
      </c>
      <c r="C24" s="19">
        <v>30</v>
      </c>
      <c r="D24" s="19">
        <v>350</v>
      </c>
      <c r="E24" s="19">
        <v>354</v>
      </c>
      <c r="F24" s="19">
        <f>(E24-D24)</f>
      </c>
      <c r="G24" s="19">
        <v>305</v>
      </c>
      <c r="H24" s="19">
        <v>306</v>
      </c>
      <c r="I24" s="21">
        <f>(H24-G24)</f>
      </c>
      <c r="J24" s="22">
        <f>(D24-G24)/A24</f>
      </c>
      <c r="K24" s="22">
        <f>(E24-H24)/A24</f>
      </c>
      <c r="L24" s="35">
        <v>0.55</v>
      </c>
      <c r="M24" s="35">
        <v>0.6</v>
      </c>
      <c r="N24" s="19">
        <v>-230</v>
      </c>
      <c r="O24" s="19">
        <v>-240</v>
      </c>
      <c r="P24" s="24">
        <v>-220</v>
      </c>
      <c r="Q24" s="5"/>
    </row>
    <row x14ac:dyDescent="0.25" r="25" customHeight="1" ht="20" customFormat="1" s="1">
      <c r="A25" s="6">
        <v>60</v>
      </c>
      <c r="B25" s="7">
        <v>90</v>
      </c>
      <c r="C25" s="7">
        <v>90</v>
      </c>
      <c r="D25" s="7">
        <v>345</v>
      </c>
      <c r="E25" s="7">
        <v>368</v>
      </c>
      <c r="F25" s="7">
        <f>(E25-D25)</f>
      </c>
      <c r="G25" s="9">
        <v>304.5</v>
      </c>
      <c r="H25" s="9">
        <v>307.5</v>
      </c>
      <c r="I25" s="28">
        <f>(H25-G25)</f>
      </c>
      <c r="J25" s="8">
        <f>(D25-G25)/A25</f>
      </c>
      <c r="K25" s="8">
        <f>(E25-H25)/A25</f>
      </c>
      <c r="L25" s="9">
        <v>0.62</v>
      </c>
      <c r="M25" s="9">
        <v>0.8</v>
      </c>
      <c r="N25" s="7">
        <v>-155</v>
      </c>
      <c r="O25" s="7">
        <v>-175</v>
      </c>
      <c r="P25" s="10">
        <v>-90</v>
      </c>
      <c r="Q25" s="5"/>
    </row>
    <row x14ac:dyDescent="0.25" r="26" customHeight="1" ht="20" customFormat="1" s="1">
      <c r="A26" s="11">
        <v>60</v>
      </c>
      <c r="B26" s="12">
        <v>90</v>
      </c>
      <c r="C26" s="12">
        <v>60</v>
      </c>
      <c r="D26" s="12">
        <v>342</v>
      </c>
      <c r="E26" s="12">
        <v>351</v>
      </c>
      <c r="F26" s="12">
        <f>(E26-D26)</f>
      </c>
      <c r="G26" s="12">
        <v>305</v>
      </c>
      <c r="H26" s="12">
        <v>320</v>
      </c>
      <c r="I26" s="13">
        <f>(H26-G26)</f>
      </c>
      <c r="J26" s="14">
        <f>(D26-G26)/A26</f>
      </c>
      <c r="K26" s="14">
        <f>(E26-H26)/A26</f>
      </c>
      <c r="L26" s="15">
        <v>0.5</v>
      </c>
      <c r="M26" s="15">
        <v>0.74</v>
      </c>
      <c r="N26" s="12">
        <v>-220</v>
      </c>
      <c r="O26" s="12">
        <v>-225</v>
      </c>
      <c r="P26" s="17">
        <v>-75</v>
      </c>
      <c r="Q26" s="5"/>
    </row>
    <row x14ac:dyDescent="0.25" r="27" customHeight="1" ht="20" customFormat="1" s="1">
      <c r="A27" s="18">
        <v>60</v>
      </c>
      <c r="B27" s="19">
        <v>90</v>
      </c>
      <c r="C27" s="19">
        <v>30</v>
      </c>
      <c r="D27" s="19">
        <v>351</v>
      </c>
      <c r="E27" s="19">
        <v>354</v>
      </c>
      <c r="F27" s="19">
        <f>(E27-D27)</f>
      </c>
      <c r="G27" s="19">
        <v>307</v>
      </c>
      <c r="H27" s="19">
        <v>319</v>
      </c>
      <c r="I27" s="21">
        <f>(H27-G27)</f>
      </c>
      <c r="J27" s="22">
        <f>(D27-G27)/A27</f>
      </c>
      <c r="K27" s="22">
        <f>(E27-H27)/A27</f>
      </c>
      <c r="L27" s="35">
        <v>0.68</v>
      </c>
      <c r="M27" s="35">
        <v>0.78</v>
      </c>
      <c r="N27" s="19">
        <v>-130</v>
      </c>
      <c r="O27" s="19">
        <v>-260</v>
      </c>
      <c r="P27" s="24">
        <v>-70</v>
      </c>
      <c r="Q27" s="5"/>
    </row>
    <row x14ac:dyDescent="0.25" r="28" customHeight="1" ht="20">
      <c r="A28" s="6">
        <v>80</v>
      </c>
      <c r="B28" s="7">
        <v>90</v>
      </c>
      <c r="C28" s="7">
        <v>90</v>
      </c>
      <c r="D28" s="27"/>
      <c r="E28" s="27"/>
      <c r="F28" s="7">
        <f>(E28-D28)</f>
      </c>
      <c r="G28" s="27"/>
      <c r="H28" s="27"/>
      <c r="I28" s="28">
        <f>(H28-G28)</f>
      </c>
      <c r="J28" s="8">
        <f>(D28-G28)/A28</f>
      </c>
      <c r="K28" s="8">
        <f>(E28-H28)/A28</f>
      </c>
      <c r="L28" s="29"/>
      <c r="M28" s="7">
        <v>1</v>
      </c>
      <c r="N28" s="27"/>
      <c r="O28" s="27"/>
      <c r="P28" s="10">
        <v>0</v>
      </c>
      <c r="Q28" s="47" t="s">
        <v>18</v>
      </c>
    </row>
    <row x14ac:dyDescent="0.25" r="29" customHeight="1" ht="20" customFormat="1" s="1">
      <c r="A29" s="11">
        <v>80</v>
      </c>
      <c r="B29" s="12">
        <v>90</v>
      </c>
      <c r="C29" s="12">
        <v>60</v>
      </c>
      <c r="D29" s="12">
        <v>348</v>
      </c>
      <c r="E29" s="12">
        <v>360</v>
      </c>
      <c r="F29" s="12">
        <f>(E29-D29)</f>
      </c>
      <c r="G29" s="12">
        <v>304</v>
      </c>
      <c r="H29" s="12">
        <v>329</v>
      </c>
      <c r="I29" s="13">
        <f>(H29-G29)</f>
      </c>
      <c r="J29" s="14">
        <f>(D29-G29)/A29</f>
      </c>
      <c r="K29" s="14">
        <f>(E29-H29)/A29</f>
      </c>
      <c r="L29" s="15">
        <v>0.62</v>
      </c>
      <c r="M29" s="12">
        <v>1</v>
      </c>
      <c r="N29" s="12">
        <v>-160</v>
      </c>
      <c r="O29" s="12">
        <v>-230</v>
      </c>
      <c r="P29" s="17">
        <v>0</v>
      </c>
      <c r="Q29" s="5"/>
    </row>
    <row x14ac:dyDescent="0.25" r="30" customHeight="1" ht="20" customFormat="1" s="1">
      <c r="A30" s="18">
        <v>80</v>
      </c>
      <c r="B30" s="19">
        <v>90</v>
      </c>
      <c r="C30" s="19">
        <v>30</v>
      </c>
      <c r="D30" s="19">
        <v>346</v>
      </c>
      <c r="E30" s="19">
        <v>354</v>
      </c>
      <c r="F30" s="19">
        <f>(E30-D30)</f>
      </c>
      <c r="G30" s="19">
        <v>304</v>
      </c>
      <c r="H30" s="19">
        <v>326</v>
      </c>
      <c r="I30" s="21">
        <f>(H30-G30)</f>
      </c>
      <c r="J30" s="22">
        <f>(D30-G30)/A30</f>
      </c>
      <c r="K30" s="22">
        <f>(E30-H30)/A30</f>
      </c>
      <c r="L30" s="35">
        <v>0.46</v>
      </c>
      <c r="M30" s="35">
        <v>0.92</v>
      </c>
      <c r="N30" s="19">
        <v>-255</v>
      </c>
      <c r="O30" s="19">
        <v>-300</v>
      </c>
      <c r="P30" s="24">
        <v>-20</v>
      </c>
      <c r="Q30" s="5"/>
    </row>
    <row x14ac:dyDescent="0.25" r="31" customHeight="1" ht="20" customFormat="1" s="1">
      <c r="A31" s="37">
        <v>100</v>
      </c>
      <c r="B31" s="37">
        <v>90</v>
      </c>
      <c r="C31" s="37">
        <v>90</v>
      </c>
      <c r="D31" s="37">
        <v>352</v>
      </c>
      <c r="E31" s="37">
        <v>374</v>
      </c>
      <c r="F31" s="37">
        <f>(E31-D31)</f>
      </c>
      <c r="G31" s="37">
        <v>306</v>
      </c>
      <c r="H31" s="37">
        <v>308</v>
      </c>
      <c r="I31" s="38">
        <f>(H31-G31)</f>
      </c>
      <c r="J31" s="39">
        <f>(D31-G31)/A31</f>
      </c>
      <c r="K31" s="39">
        <f>(E31-H31)/A31</f>
      </c>
      <c r="L31" s="40">
        <v>0.55</v>
      </c>
      <c r="M31" s="37">
        <v>1</v>
      </c>
      <c r="N31" s="37">
        <v>-150</v>
      </c>
      <c r="O31" s="37">
        <v>-170</v>
      </c>
      <c r="P31" s="37">
        <v>0</v>
      </c>
      <c r="Q31" s="5"/>
    </row>
    <row x14ac:dyDescent="0.25" r="32" customHeight="1" ht="20" customFormat="1" s="1">
      <c r="A32" s="12">
        <v>100</v>
      </c>
      <c r="B32" s="12">
        <v>90</v>
      </c>
      <c r="C32" s="12">
        <v>60</v>
      </c>
      <c r="D32" s="12">
        <v>341</v>
      </c>
      <c r="E32" s="12">
        <v>357</v>
      </c>
      <c r="F32" s="12">
        <f>(E32-D32)</f>
      </c>
      <c r="G32" s="12">
        <v>302</v>
      </c>
      <c r="H32" s="12">
        <v>330</v>
      </c>
      <c r="I32" s="13">
        <f>(H32-G32)</f>
      </c>
      <c r="J32" s="14">
        <f>(D32-G32)/A32</f>
      </c>
      <c r="K32" s="14">
        <f>(E32-H32)/A32</f>
      </c>
      <c r="L32" s="15">
        <v>0.48</v>
      </c>
      <c r="M32" s="12">
        <v>1</v>
      </c>
      <c r="N32" s="12">
        <v>-220</v>
      </c>
      <c r="O32" s="12">
        <v>-250</v>
      </c>
      <c r="P32" s="12">
        <v>0</v>
      </c>
      <c r="Q32" s="5"/>
    </row>
    <row x14ac:dyDescent="0.25" r="33" customHeight="1" ht="20" customFormat="1" s="1">
      <c r="A33" s="43">
        <v>100</v>
      </c>
      <c r="B33" s="43">
        <v>90</v>
      </c>
      <c r="C33" s="43">
        <v>30</v>
      </c>
      <c r="D33" s="43">
        <v>346</v>
      </c>
      <c r="E33" s="43">
        <v>355</v>
      </c>
      <c r="F33" s="43">
        <f>(E33-D33)</f>
      </c>
      <c r="G33" s="43">
        <v>306</v>
      </c>
      <c r="H33" s="43">
        <v>329</v>
      </c>
      <c r="I33" s="44">
        <f>(H33-G33)</f>
      </c>
      <c r="J33" s="45">
        <f>(D33-G33)/A33</f>
      </c>
      <c r="K33" s="45">
        <f>(E33-H33)/A33</f>
      </c>
      <c r="L33" s="48">
        <v>0.6</v>
      </c>
      <c r="M33" s="43">
        <v>1</v>
      </c>
      <c r="N33" s="43">
        <v>-150</v>
      </c>
      <c r="O33" s="43">
        <v>-210</v>
      </c>
      <c r="P33" s="43">
        <v>0</v>
      </c>
      <c r="Q33" s="5"/>
    </row>
    <row x14ac:dyDescent="0.25" r="34" customHeight="1" ht="20" customFormat="1" s="1">
      <c r="A34" s="6">
        <v>120</v>
      </c>
      <c r="B34" s="7">
        <v>90</v>
      </c>
      <c r="C34" s="7">
        <v>90</v>
      </c>
      <c r="D34" s="7">
        <v>354</v>
      </c>
      <c r="E34" s="7">
        <v>370</v>
      </c>
      <c r="F34" s="7">
        <f>(E34-D34)</f>
      </c>
      <c r="G34" s="7">
        <v>304</v>
      </c>
      <c r="H34" s="7">
        <v>314</v>
      </c>
      <c r="I34" s="28">
        <f>(H34-G34)</f>
      </c>
      <c r="J34" s="8">
        <f>(D34-G34)/A34</f>
      </c>
      <c r="K34" s="8">
        <f>(E34-H34)/A34</f>
      </c>
      <c r="L34" s="9">
        <v>0.6</v>
      </c>
      <c r="M34" s="7">
        <v>1</v>
      </c>
      <c r="N34" s="7">
        <v>215</v>
      </c>
      <c r="O34" s="7">
        <v>-230</v>
      </c>
      <c r="P34" s="10">
        <v>0</v>
      </c>
      <c r="Q34" s="5"/>
    </row>
    <row x14ac:dyDescent="0.25" r="35" customHeight="1" ht="20" customFormat="1" s="1">
      <c r="A35" s="11">
        <v>120</v>
      </c>
      <c r="B35" s="12">
        <v>90</v>
      </c>
      <c r="C35" s="12">
        <v>60</v>
      </c>
      <c r="D35" s="12">
        <v>342</v>
      </c>
      <c r="E35" s="12">
        <v>355</v>
      </c>
      <c r="F35" s="12">
        <f>(E35-D35)</f>
      </c>
      <c r="G35" s="12">
        <v>302</v>
      </c>
      <c r="H35" s="12">
        <v>330</v>
      </c>
      <c r="I35" s="13">
        <f>(H35-G35)</f>
      </c>
      <c r="J35" s="14">
        <f>(D35-G35)/A35</f>
      </c>
      <c r="K35" s="14">
        <f>(E35-H35)/A35</f>
      </c>
      <c r="L35" s="15">
        <v>0.54</v>
      </c>
      <c r="M35" s="12">
        <v>1</v>
      </c>
      <c r="N35" s="12">
        <v>-215</v>
      </c>
      <c r="O35" s="12">
        <v>-230</v>
      </c>
      <c r="P35" s="17">
        <v>0</v>
      </c>
      <c r="Q35" s="5"/>
    </row>
    <row x14ac:dyDescent="0.25" r="36" customHeight="1" ht="20" customFormat="1" s="1">
      <c r="A36" s="18">
        <v>120</v>
      </c>
      <c r="B36" s="19">
        <v>90</v>
      </c>
      <c r="C36" s="19">
        <v>30</v>
      </c>
      <c r="D36" s="19">
        <v>343</v>
      </c>
      <c r="E36" s="19">
        <v>355</v>
      </c>
      <c r="F36" s="19">
        <f>(E36-D36)</f>
      </c>
      <c r="G36" s="19">
        <v>304</v>
      </c>
      <c r="H36" s="19">
        <v>327</v>
      </c>
      <c r="I36" s="21">
        <f>(H36-G36)</f>
      </c>
      <c r="J36" s="22">
        <f>(D36-G36)/A36</f>
      </c>
      <c r="K36" s="22">
        <f>(E36-H36)/A36</f>
      </c>
      <c r="L36" s="35">
        <v>0.52</v>
      </c>
      <c r="M36" s="19">
        <v>1</v>
      </c>
      <c r="N36" s="19">
        <v>-200</v>
      </c>
      <c r="O36" s="19">
        <v>-250</v>
      </c>
      <c r="P36" s="24">
        <v>0</v>
      </c>
      <c r="Q3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demo</vt:lpstr>
      <vt:lpstr>final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2025-01-25T06:25:22.111Z</dcterms:created>
  <dcterms:modified xsi:type="dcterms:W3CDTF">2025-01-25T06:25:22.111Z</dcterms:modified>
</cp:coreProperties>
</file>