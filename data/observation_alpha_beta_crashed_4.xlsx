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D:\Phd\php_pulsating_heat_pipe\Krp_Analysis\Advanced_PulseHeatPipe_krp\data\"/>
    </mc:Choice>
  </mc:AlternateContent>
  <xr:revisionPtr revIDLastSave="0" documentId="13_ncr:1_{4065A093-C485-4D23-9206-340F863F0F98}" xr6:coauthVersionLast="36" xr6:coauthVersionMax="36" xr10:uidLastSave="{00000000-0000-0000-0000-000000000000}"/>
  <bookViews>
    <workbookView xWindow="480" yWindow="60" windowWidth="18200" windowHeight="8510" xr2:uid="{00000000-000D-0000-FFFF-FFFF00000000}"/>
  </bookViews>
  <sheets>
    <sheet name="demo" sheetId="1" r:id="rId1"/>
    <sheet name="final" sheetId="2" r:id="rId2"/>
  </sheets>
  <definedNames>
    <definedName name="_xlnm._FilterDatabase" localSheetId="0" hidden="1">demo!$A$1:$T$26</definedName>
    <definedName name="_xlnm._FilterDatabase" localSheetId="1" hidden="1">final!$A$1:$Q$36</definedName>
  </definedNames>
  <calcPr calcId="191029"/>
</workbook>
</file>

<file path=xl/calcChain.xml><?xml version="1.0" encoding="utf-8"?>
<calcChain xmlns="http://schemas.openxmlformats.org/spreadsheetml/2006/main">
  <c r="K36" i="2" l="1"/>
  <c r="J36" i="2"/>
  <c r="I36" i="2"/>
  <c r="F36" i="2"/>
  <c r="K35" i="2"/>
  <c r="J35" i="2"/>
  <c r="I35" i="2"/>
  <c r="F35" i="2"/>
  <c r="K34" i="2"/>
  <c r="J34" i="2"/>
  <c r="I34" i="2"/>
  <c r="F34" i="2"/>
  <c r="K33" i="2"/>
  <c r="J33" i="2"/>
  <c r="I33" i="2"/>
  <c r="F33" i="2"/>
  <c r="K32" i="2"/>
  <c r="J32" i="2"/>
  <c r="I32" i="2"/>
  <c r="F32" i="2"/>
  <c r="K31" i="2"/>
  <c r="J31" i="2"/>
  <c r="I31" i="2"/>
  <c r="F31" i="2"/>
  <c r="K30" i="2"/>
  <c r="J30" i="2"/>
  <c r="I30" i="2"/>
  <c r="F30" i="2"/>
  <c r="K29" i="2"/>
  <c r="J29" i="2"/>
  <c r="I29" i="2"/>
  <c r="F29" i="2"/>
  <c r="K28" i="2"/>
  <c r="J28" i="2"/>
  <c r="I28" i="2"/>
  <c r="F28" i="2"/>
  <c r="K27" i="2"/>
  <c r="J27" i="2"/>
  <c r="I27" i="2"/>
  <c r="F27" i="2"/>
  <c r="K26" i="2"/>
  <c r="J26" i="2"/>
  <c r="I26" i="2"/>
  <c r="F26" i="2"/>
  <c r="K25" i="2"/>
  <c r="J25" i="2"/>
  <c r="I25" i="2"/>
  <c r="F25" i="2"/>
  <c r="K24" i="2"/>
  <c r="J24" i="2"/>
  <c r="I24" i="2"/>
  <c r="F24" i="2"/>
  <c r="K23" i="2"/>
  <c r="J23" i="2"/>
  <c r="I23" i="2"/>
  <c r="F23" i="2"/>
  <c r="K22" i="2"/>
  <c r="J22" i="2"/>
  <c r="I22" i="2"/>
  <c r="F22" i="2"/>
  <c r="K21" i="2"/>
  <c r="J21" i="2"/>
  <c r="I21" i="2"/>
  <c r="F21" i="2"/>
  <c r="K20" i="2"/>
  <c r="J20" i="2"/>
  <c r="I20" i="2"/>
  <c r="F20" i="2"/>
  <c r="K19" i="2"/>
  <c r="J19" i="2"/>
  <c r="I19" i="2"/>
  <c r="F19" i="2"/>
  <c r="K18" i="2"/>
  <c r="J18" i="2"/>
  <c r="I18" i="2"/>
  <c r="F18" i="2"/>
  <c r="K17" i="2"/>
  <c r="J17" i="2"/>
  <c r="I17" i="2"/>
  <c r="F17" i="2"/>
  <c r="K16" i="2"/>
  <c r="J16" i="2"/>
  <c r="I16" i="2"/>
  <c r="F16" i="2"/>
  <c r="K15" i="2"/>
  <c r="J15" i="2"/>
  <c r="I15" i="2"/>
  <c r="F15" i="2"/>
  <c r="K14" i="2"/>
  <c r="J14" i="2"/>
  <c r="I14" i="2"/>
  <c r="F14" i="2"/>
  <c r="K13" i="2"/>
  <c r="J13" i="2"/>
  <c r="I13" i="2"/>
  <c r="F13" i="2"/>
  <c r="K12" i="2"/>
  <c r="J12" i="2"/>
  <c r="I12" i="2"/>
  <c r="F12" i="2"/>
  <c r="K11" i="2"/>
  <c r="J11" i="2"/>
  <c r="I11" i="2"/>
  <c r="F11" i="2"/>
  <c r="K10" i="2"/>
  <c r="J10" i="2"/>
  <c r="I10" i="2"/>
  <c r="F10" i="2"/>
  <c r="K9" i="2"/>
  <c r="J9" i="2"/>
  <c r="I9" i="2"/>
  <c r="F9" i="2"/>
  <c r="K8" i="2"/>
  <c r="J8" i="2"/>
  <c r="I8" i="2"/>
  <c r="F8" i="2"/>
  <c r="K7" i="2"/>
  <c r="J7" i="2"/>
  <c r="I7" i="2"/>
  <c r="F7" i="2"/>
  <c r="K6" i="2"/>
  <c r="J6" i="2"/>
  <c r="I6" i="2"/>
  <c r="F6" i="2"/>
  <c r="K5" i="2"/>
  <c r="J5" i="2"/>
  <c r="I5" i="2"/>
  <c r="F5" i="2"/>
  <c r="K4" i="2"/>
  <c r="J4" i="2"/>
  <c r="I4" i="2"/>
  <c r="F4" i="2"/>
  <c r="K3" i="2"/>
  <c r="J3" i="2"/>
  <c r="I3" i="2"/>
  <c r="F3" i="2"/>
  <c r="K2" i="2"/>
  <c r="J2" i="2"/>
  <c r="I2" i="2"/>
  <c r="F2" i="2"/>
  <c r="M26" i="1"/>
  <c r="J26" i="1"/>
  <c r="I26" i="1"/>
  <c r="F26" i="1"/>
  <c r="M25" i="1"/>
  <c r="J25" i="1"/>
  <c r="I25" i="1"/>
  <c r="F25" i="1"/>
  <c r="M24" i="1"/>
  <c r="J24" i="1"/>
  <c r="I24" i="1"/>
  <c r="F24" i="1"/>
  <c r="M23" i="1"/>
  <c r="J23" i="1"/>
  <c r="I23" i="1"/>
  <c r="F23" i="1"/>
  <c r="M22" i="1"/>
  <c r="J22" i="1"/>
  <c r="I22" i="1"/>
  <c r="F22" i="1"/>
  <c r="M21" i="1"/>
  <c r="J21" i="1"/>
  <c r="I21" i="1"/>
  <c r="F21" i="1"/>
  <c r="M20" i="1"/>
  <c r="J20" i="1"/>
  <c r="I20" i="1"/>
  <c r="F20" i="1"/>
  <c r="M19" i="1"/>
  <c r="J19" i="1"/>
  <c r="I19" i="1"/>
  <c r="F19" i="1"/>
  <c r="M18" i="1"/>
  <c r="J18" i="1"/>
  <c r="I18" i="1"/>
  <c r="F18" i="1"/>
  <c r="M17" i="1"/>
  <c r="J17" i="1"/>
  <c r="I17" i="1"/>
  <c r="F17" i="1"/>
  <c r="M16" i="1"/>
  <c r="J16" i="1"/>
  <c r="I16" i="1"/>
  <c r="F16" i="1"/>
  <c r="M15" i="1"/>
  <c r="J15" i="1"/>
  <c r="I15" i="1"/>
  <c r="F15" i="1"/>
  <c r="M14" i="1"/>
  <c r="J14" i="1"/>
  <c r="I14" i="1"/>
  <c r="F14" i="1"/>
  <c r="M13" i="1"/>
  <c r="J13" i="1"/>
  <c r="I13" i="1"/>
  <c r="F13" i="1"/>
  <c r="M12" i="1"/>
  <c r="J12" i="1"/>
  <c r="I12" i="1"/>
  <c r="F12" i="1"/>
  <c r="M11" i="1"/>
  <c r="J11" i="1"/>
  <c r="I11" i="1"/>
  <c r="F11" i="1"/>
  <c r="M10" i="1"/>
  <c r="J10" i="1"/>
  <c r="I10" i="1"/>
  <c r="F10" i="1"/>
  <c r="M9" i="1"/>
  <c r="J9" i="1"/>
  <c r="I9" i="1"/>
  <c r="F9" i="1"/>
  <c r="M8" i="1"/>
  <c r="J8" i="1"/>
  <c r="I8" i="1"/>
  <c r="F8" i="1"/>
  <c r="M7" i="1"/>
  <c r="J7" i="1"/>
  <c r="I7" i="1"/>
  <c r="F7" i="1"/>
  <c r="M6" i="1"/>
  <c r="J6" i="1"/>
  <c r="I6" i="1"/>
  <c r="F6" i="1"/>
  <c r="M5" i="1"/>
  <c r="J5" i="1"/>
  <c r="I5" i="1"/>
  <c r="F5" i="1"/>
  <c r="M4" i="1"/>
  <c r="J4" i="1"/>
  <c r="I4" i="1"/>
  <c r="F4" i="1"/>
  <c r="M3" i="1"/>
  <c r="J3" i="1"/>
  <c r="I3" i="1"/>
  <c r="F3" i="1"/>
  <c r="M2" i="1"/>
  <c r="J2" i="1"/>
  <c r="I2" i="1"/>
  <c r="F2" i="1"/>
  <c r="K24" i="1" l="1"/>
  <c r="L24" i="1" s="1"/>
  <c r="N16" i="1"/>
  <c r="O16" i="1" s="1"/>
  <c r="K23" i="1"/>
  <c r="L23" i="1" s="1"/>
  <c r="K20" i="1"/>
  <c r="L20" i="1" s="1"/>
  <c r="K6" i="1"/>
  <c r="L6" i="1" s="1"/>
  <c r="K3" i="1"/>
  <c r="L3" i="1" s="1"/>
  <c r="K4" i="1"/>
  <c r="L4" i="1" s="1"/>
  <c r="N21" i="1"/>
  <c r="O21" i="1" s="1"/>
  <c r="N15" i="1"/>
  <c r="O15" i="1" s="1"/>
  <c r="K17" i="1"/>
  <c r="L17" i="1" s="1"/>
  <c r="N8" i="1"/>
  <c r="O8" i="1" s="1"/>
  <c r="K22" i="1"/>
  <c r="L22" i="1" s="1"/>
  <c r="K8" i="1"/>
  <c r="L8" i="1" s="1"/>
  <c r="K18" i="1"/>
  <c r="L18" i="1" s="1"/>
  <c r="K19" i="1"/>
  <c r="L19" i="1" s="1"/>
  <c r="K7" i="1"/>
  <c r="L7" i="1" s="1"/>
  <c r="N4" i="1"/>
  <c r="O4" i="1" s="1"/>
  <c r="N20" i="1"/>
  <c r="O20" i="1" s="1"/>
  <c r="N18" i="1"/>
  <c r="O18" i="1" s="1"/>
  <c r="N19" i="1"/>
  <c r="O19" i="1" s="1"/>
  <c r="N24" i="1"/>
  <c r="O24" i="1" s="1"/>
  <c r="K10" i="1"/>
  <c r="L10" i="1" s="1"/>
  <c r="N17" i="1"/>
  <c r="O17" i="1" s="1"/>
  <c r="N6" i="1"/>
  <c r="O6" i="1" s="1"/>
  <c r="N10" i="1"/>
  <c r="O10" i="1" s="1"/>
  <c r="N7" i="1"/>
  <c r="O7" i="1" s="1"/>
  <c r="K16" i="1"/>
  <c r="L16" i="1" s="1"/>
  <c r="N23" i="1"/>
  <c r="O23" i="1" s="1"/>
  <c r="N11" i="1"/>
  <c r="O11" i="1" s="1"/>
  <c r="K11" i="1"/>
  <c r="L11" i="1" s="1"/>
  <c r="N14" i="1"/>
  <c r="O14" i="1" s="1"/>
  <c r="N3" i="1"/>
  <c r="O3" i="1" s="1"/>
  <c r="K12" i="1"/>
  <c r="L12" i="1" s="1"/>
  <c r="N26" i="1"/>
  <c r="O26" i="1" s="1"/>
  <c r="K15" i="1"/>
  <c r="L15" i="1" s="1"/>
  <c r="K21" i="1"/>
  <c r="L21" i="1" s="1"/>
  <c r="N22" i="1"/>
  <c r="O22" i="1" s="1"/>
  <c r="K25" i="1"/>
  <c r="L25" i="1" s="1"/>
  <c r="K26" i="1"/>
  <c r="L26" i="1" s="1"/>
  <c r="N12" i="1"/>
  <c r="O12" i="1" s="1"/>
  <c r="N25" i="1"/>
  <c r="O25" i="1" s="1"/>
  <c r="K14" i="1"/>
  <c r="L14" i="1" s="1"/>
</calcChain>
</file>

<file path=xl/sharedStrings.xml><?xml version="1.0" encoding="utf-8"?>
<sst xmlns="http://schemas.openxmlformats.org/spreadsheetml/2006/main" count="39" uniqueCount="23">
  <si>
    <t>Q[W]</t>
  </si>
  <si>
    <t>alpha</t>
  </si>
  <si>
    <t>beta</t>
  </si>
  <si>
    <t>Te1[K]</t>
  </si>
  <si>
    <t>Te2[K]</t>
  </si>
  <si>
    <t>dTe[K]</t>
  </si>
  <si>
    <t>Tc1[K]</t>
  </si>
  <si>
    <t>Tc2[K]</t>
  </si>
  <si>
    <t>dTc[K]</t>
  </si>
  <si>
    <t>TR1[K/W]</t>
  </si>
  <si>
    <t>TR2[K/W]</t>
  </si>
  <si>
    <t>P1[bar]</t>
  </si>
  <si>
    <t>P2[bar]</t>
  </si>
  <si>
    <t>dG1[KJ/mol]</t>
  </si>
  <si>
    <t>dGmin[KJ/mol]</t>
  </si>
  <si>
    <t>dG2[KJ/mol]</t>
  </si>
  <si>
    <t>may be leakage</t>
  </si>
  <si>
    <t>repeat</t>
  </si>
  <si>
    <t>must repeat</t>
  </si>
  <si>
    <t>Change_in_TR1[%]</t>
  </si>
  <si>
    <t>Change_in_TR2[%]</t>
  </si>
  <si>
    <t>Change_in_TR1</t>
  </si>
  <si>
    <t>Change_in_TR2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</si>
</sst>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3" fontId="1" fillId="0" borderId="2" xfId="0" applyNumberFormat="1" applyFont="1" applyBorder="1" applyAlignment="1">
      <alignment horizontal="right" wrapText="1"/>
    </xf>
    <xf numFmtId="3" fontId="1" fillId="0" borderId="3" xfId="0" applyNumberFormat="1" applyFont="1" applyBorder="1" applyAlignment="1">
      <alignment horizontal="right" wrapText="1"/>
    </xf>
    <xf numFmtId="164" fontId="1" fillId="0" borderId="3" xfId="0" applyNumberFormat="1" applyFont="1" applyBorder="1" applyAlignment="1">
      <alignment horizontal="right" wrapText="1"/>
    </xf>
    <xf numFmtId="4" fontId="1" fillId="0" borderId="3" xfId="0" applyNumberFormat="1" applyFont="1" applyBorder="1" applyAlignment="1">
      <alignment horizontal="right" wrapText="1"/>
    </xf>
    <xf numFmtId="3" fontId="1" fillId="0" borderId="4" xfId="0" applyNumberFormat="1" applyFont="1" applyBorder="1" applyAlignment="1">
      <alignment horizontal="right" wrapText="1"/>
    </xf>
    <xf numFmtId="3" fontId="1" fillId="0" borderId="5" xfId="0" applyNumberFormat="1" applyFont="1" applyBorder="1" applyAlignment="1">
      <alignment horizontal="right" wrapText="1"/>
    </xf>
    <xf numFmtId="3" fontId="1" fillId="0" borderId="6" xfId="0" applyNumberFormat="1" applyFont="1" applyBorder="1" applyAlignment="1">
      <alignment horizontal="right" wrapText="1"/>
    </xf>
    <xf numFmtId="3" fontId="1" fillId="2" borderId="6" xfId="0" applyNumberFormat="1" applyFont="1" applyFill="1" applyBorder="1" applyAlignment="1">
      <alignment horizontal="right" wrapText="1"/>
    </xf>
    <xf numFmtId="164" fontId="1" fillId="0" borderId="6" xfId="0" applyNumberFormat="1" applyFont="1" applyBorder="1" applyAlignment="1">
      <alignment horizontal="right" wrapText="1"/>
    </xf>
    <xf numFmtId="4" fontId="1" fillId="0" borderId="6" xfId="0" applyNumberFormat="1" applyFont="1" applyBorder="1" applyAlignment="1">
      <alignment horizontal="right" wrapText="1"/>
    </xf>
    <xf numFmtId="4" fontId="1" fillId="0" borderId="7" xfId="0" applyNumberFormat="1" applyFont="1" applyBorder="1" applyAlignment="1">
      <alignment horizontal="right" wrapText="1"/>
    </xf>
    <xf numFmtId="3" fontId="1" fillId="0" borderId="7" xfId="0" applyNumberFormat="1" applyFont="1" applyBorder="1" applyAlignment="1">
      <alignment horizontal="right" wrapText="1"/>
    </xf>
    <xf numFmtId="3" fontId="1" fillId="0" borderId="8" xfId="0" applyNumberFormat="1" applyFont="1" applyBorder="1" applyAlignment="1">
      <alignment horizontal="right" wrapText="1"/>
    </xf>
    <xf numFmtId="3" fontId="1" fillId="0" borderId="9" xfId="0" applyNumberFormat="1" applyFont="1" applyBorder="1" applyAlignment="1">
      <alignment horizontal="right" wrapText="1"/>
    </xf>
    <xf numFmtId="3" fontId="1" fillId="0" borderId="9" xfId="0" applyNumberFormat="1" applyFont="1" applyBorder="1" applyAlignment="1">
      <alignment horizontal="left" wrapText="1"/>
    </xf>
    <xf numFmtId="3" fontId="1" fillId="2" borderId="9" xfId="0" applyNumberFormat="1" applyFont="1" applyFill="1" applyBorder="1" applyAlignment="1">
      <alignment horizontal="right" wrapText="1"/>
    </xf>
    <xf numFmtId="164" fontId="1" fillId="0" borderId="9" xfId="0" applyNumberFormat="1" applyFont="1" applyBorder="1" applyAlignment="1">
      <alignment horizontal="right" wrapText="1"/>
    </xf>
    <xf numFmtId="4" fontId="1" fillId="0" borderId="9" xfId="0" applyNumberFormat="1" applyFont="1" applyBorder="1" applyAlignment="1">
      <alignment horizontal="left" wrapText="1"/>
    </xf>
    <xf numFmtId="3" fontId="1" fillId="0" borderId="10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3" fontId="1" fillId="0" borderId="3" xfId="0" applyNumberFormat="1" applyFont="1" applyBorder="1" applyAlignment="1">
      <alignment horizontal="left" wrapText="1"/>
    </xf>
    <xf numFmtId="3" fontId="1" fillId="2" borderId="3" xfId="0" applyNumberFormat="1" applyFont="1" applyFill="1" applyBorder="1" applyAlignment="1">
      <alignment horizontal="right" wrapText="1"/>
    </xf>
    <xf numFmtId="4" fontId="1" fillId="0" borderId="3" xfId="0" applyNumberFormat="1" applyFont="1" applyBorder="1" applyAlignment="1">
      <alignment horizontal="left" wrapText="1"/>
    </xf>
    <xf numFmtId="3" fontId="2" fillId="0" borderId="8" xfId="0" applyNumberFormat="1" applyFont="1" applyBorder="1" applyAlignment="1">
      <alignment horizontal="right" wrapText="1"/>
    </xf>
    <xf numFmtId="3" fontId="2" fillId="0" borderId="9" xfId="0" applyNumberFormat="1" applyFont="1" applyBorder="1" applyAlignment="1">
      <alignment horizontal="right" wrapText="1"/>
    </xf>
    <xf numFmtId="4" fontId="2" fillId="0" borderId="9" xfId="0" applyNumberFormat="1" applyFont="1" applyBorder="1" applyAlignment="1">
      <alignment horizontal="right" wrapText="1"/>
    </xf>
    <xf numFmtId="4" fontId="1" fillId="2" borderId="9" xfId="0" applyNumberFormat="1" applyFont="1" applyFill="1" applyBorder="1" applyAlignment="1">
      <alignment horizontal="right" wrapText="1"/>
    </xf>
    <xf numFmtId="3" fontId="2" fillId="0" borderId="10" xfId="0" applyNumberFormat="1" applyFont="1" applyBorder="1" applyAlignment="1">
      <alignment horizontal="right" wrapText="1"/>
    </xf>
    <xf numFmtId="4" fontId="1" fillId="0" borderId="9" xfId="0" applyNumberFormat="1" applyFont="1" applyBorder="1" applyAlignment="1">
      <alignment horizontal="right" wrapText="1"/>
    </xf>
    <xf numFmtId="3" fontId="1" fillId="0" borderId="11" xfId="0" applyNumberFormat="1" applyFont="1" applyBorder="1" applyAlignment="1">
      <alignment horizontal="right" wrapText="1"/>
    </xf>
    <xf numFmtId="3" fontId="1" fillId="0" borderId="12" xfId="0" applyNumberFormat="1" applyFont="1" applyBorder="1" applyAlignment="1">
      <alignment horizontal="right" wrapText="1"/>
    </xf>
    <xf numFmtId="3" fontId="1" fillId="2" borderId="13" xfId="0" applyNumberFormat="1" applyFont="1" applyFill="1" applyBorder="1" applyAlignment="1">
      <alignment horizontal="right" wrapText="1"/>
    </xf>
    <xf numFmtId="164" fontId="1" fillId="0" borderId="12" xfId="0" applyNumberFormat="1" applyFont="1" applyBorder="1" applyAlignment="1">
      <alignment horizontal="right" wrapText="1"/>
    </xf>
    <xf numFmtId="4" fontId="1" fillId="0" borderId="12" xfId="0" applyNumberFormat="1" applyFont="1" applyBorder="1" applyAlignment="1">
      <alignment horizontal="right" wrapText="1"/>
    </xf>
    <xf numFmtId="3" fontId="1" fillId="0" borderId="14" xfId="0" applyNumberFormat="1" applyFont="1" applyBorder="1" applyAlignment="1">
      <alignment horizontal="right" wrapText="1"/>
    </xf>
    <xf numFmtId="3" fontId="1" fillId="0" borderId="15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2" borderId="16" xfId="0" applyNumberFormat="1" applyFont="1" applyFill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3" fontId="1" fillId="0" borderId="17" xfId="0" applyNumberFormat="1" applyFont="1" applyBorder="1" applyAlignment="1">
      <alignment horizontal="right" wrapText="1"/>
    </xf>
    <xf numFmtId="0" fontId="1" fillId="3" borderId="18" xfId="0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0" borderId="0" xfId="0" applyAlignment="1"/>
    <xf numFmtId="3" fontId="1" fillId="0" borderId="19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4" fontId="1" fillId="0" borderId="19" xfId="0" applyNumberFormat="1" applyFont="1" applyBorder="1" applyAlignment="1">
      <alignment horizontal="right" wrapText="1"/>
    </xf>
    <xf numFmtId="3" fontId="1" fillId="2" borderId="19" xfId="0" applyNumberFormat="1" applyFont="1" applyFill="1" applyBorder="1" applyAlignment="1">
      <alignment horizontal="right" wrapText="1"/>
    </xf>
    <xf numFmtId="3" fontId="2" fillId="0" borderId="19" xfId="0" applyNumberFormat="1" applyFont="1" applyBorder="1" applyAlignment="1">
      <alignment horizontal="right" wrapText="1"/>
    </xf>
    <xf numFmtId="4" fontId="2" fillId="0" borderId="19" xfId="0" applyNumberFormat="1" applyFont="1" applyBorder="1" applyAlignment="1">
      <alignment horizontal="right" wrapText="1"/>
    </xf>
    <xf numFmtId="4" fontId="2" fillId="2" borderId="19" xfId="0" applyNumberFormat="1" applyFont="1" applyFill="1" applyBorder="1" applyAlignment="1">
      <alignment horizontal="right" wrapText="1"/>
    </xf>
    <xf numFmtId="164" fontId="2" fillId="0" borderId="19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6"/>
  <sheetViews>
    <sheetView tabSelected="1" zoomScale="80" zoomScaleNormal="80" workbookViewId="0">
      <pane ySplit="1" topLeftCell="A2" activePane="bottomLeft" state="frozen"/>
      <selection pane="bottomLeft" activeCell="M7" sqref="M7"/>
    </sheetView>
  </sheetViews>
  <sheetFormatPr defaultRowHeight="14.5" x14ac:dyDescent="0.35"/>
  <cols>
    <col min="1" max="3" width="8.54296875" style="49" bestFit="1" customWidth="1"/>
    <col min="4" max="8" width="9" style="49" bestFit="1" customWidth="1"/>
    <col min="9" max="9" width="8.54296875" style="49" bestFit="1" customWidth="1"/>
    <col min="10" max="10" width="10.26953125" style="50" bestFit="1" customWidth="1"/>
    <col min="11" max="11" width="10.453125" style="50" bestFit="1" customWidth="1"/>
    <col min="12" max="12" width="10.453125" style="50" customWidth="1"/>
    <col min="13" max="13" width="10.26953125" style="50" bestFit="1" customWidth="1"/>
    <col min="14" max="14" width="11.26953125" style="50" bestFit="1" customWidth="1"/>
    <col min="15" max="15" width="11.26953125" style="50" customWidth="1"/>
    <col min="16" max="16" width="8.54296875" style="51" bestFit="1" customWidth="1"/>
    <col min="17" max="17" width="8.54296875" style="49" bestFit="1" customWidth="1"/>
    <col min="18" max="18" width="11.81640625" style="49" bestFit="1" customWidth="1"/>
    <col min="19" max="19" width="13.54296875" style="49" bestFit="1" customWidth="1"/>
    <col min="20" max="20" width="11.81640625" style="49" bestFit="1" customWidth="1"/>
  </cols>
  <sheetData>
    <row r="1" spans="1:20" s="1" customFormat="1" ht="3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21</v>
      </c>
      <c r="L1" s="3" t="s">
        <v>19</v>
      </c>
      <c r="M1" s="3" t="s">
        <v>10</v>
      </c>
      <c r="N1" s="3" t="s">
        <v>22</v>
      </c>
      <c r="O1" s="3" t="s">
        <v>20</v>
      </c>
      <c r="P1" s="4" t="s">
        <v>11</v>
      </c>
      <c r="Q1" s="2" t="s">
        <v>12</v>
      </c>
      <c r="R1" s="2" t="s">
        <v>13</v>
      </c>
      <c r="S1" s="2" t="s">
        <v>14</v>
      </c>
      <c r="T1" s="2" t="s">
        <v>15</v>
      </c>
    </row>
    <row r="2" spans="1:20" s="1" customFormat="1" ht="18.75" customHeight="1" x14ac:dyDescent="0.35">
      <c r="A2" s="53">
        <v>40</v>
      </c>
      <c r="B2" s="53">
        <v>90</v>
      </c>
      <c r="C2" s="53">
        <v>0</v>
      </c>
      <c r="D2" s="53">
        <v>348</v>
      </c>
      <c r="E2" s="53">
        <v>352</v>
      </c>
      <c r="F2" s="53">
        <f t="shared" ref="F2:F26" si="0">(E2-D2)</f>
        <v>4</v>
      </c>
      <c r="G2" s="53">
        <v>306</v>
      </c>
      <c r="H2" s="53">
        <v>315</v>
      </c>
      <c r="I2" s="53">
        <f t="shared" ref="I2:I26" si="1">(H2-G2)</f>
        <v>9</v>
      </c>
      <c r="J2" s="54">
        <f t="shared" ref="J2:J26" si="2">(D2-G2)/A2</f>
        <v>1.05</v>
      </c>
      <c r="K2" s="55">
        <v>0</v>
      </c>
      <c r="L2" s="55">
        <v>0</v>
      </c>
      <c r="M2" s="54">
        <f>(E2-H2)/A2</f>
        <v>0.92500000000000004</v>
      </c>
      <c r="N2" s="55">
        <v>0</v>
      </c>
      <c r="O2" s="55">
        <v>0</v>
      </c>
      <c r="P2" s="55">
        <v>0.62</v>
      </c>
      <c r="Q2" s="55">
        <v>0.75</v>
      </c>
      <c r="R2" s="53">
        <v>-155</v>
      </c>
      <c r="S2" s="53">
        <v>-190</v>
      </c>
      <c r="T2" s="53">
        <v>-100</v>
      </c>
    </row>
    <row r="3" spans="1:20" s="1" customFormat="1" ht="18.75" customHeight="1" x14ac:dyDescent="0.35">
      <c r="A3" s="53">
        <v>40</v>
      </c>
      <c r="B3" s="53">
        <v>60</v>
      </c>
      <c r="C3" s="53">
        <v>0</v>
      </c>
      <c r="D3" s="53">
        <v>349</v>
      </c>
      <c r="E3" s="53">
        <v>357</v>
      </c>
      <c r="F3" s="53">
        <f t="shared" si="0"/>
        <v>8</v>
      </c>
      <c r="G3" s="53">
        <v>304</v>
      </c>
      <c r="H3" s="53">
        <v>305</v>
      </c>
      <c r="I3" s="56">
        <f t="shared" si="1"/>
        <v>1</v>
      </c>
      <c r="J3" s="54">
        <f t="shared" si="2"/>
        <v>1.125</v>
      </c>
      <c r="K3" s="54">
        <f>(J2-J3)/J2</f>
        <v>-7.1428571428571383E-2</v>
      </c>
      <c r="L3" s="55">
        <f t="shared" ref="L3:L26" si="3">K3*100</f>
        <v>-7.1428571428571379</v>
      </c>
      <c r="M3" s="54">
        <f>(E3-H3)/A3</f>
        <v>1.3</v>
      </c>
      <c r="N3" s="54">
        <f>(M2-M3)/M2</f>
        <v>-0.40540540540540537</v>
      </c>
      <c r="O3" s="55">
        <f t="shared" ref="O3:O26" si="4">N3*100</f>
        <v>-40.54054054054054</v>
      </c>
      <c r="P3" s="55">
        <v>0.7</v>
      </c>
      <c r="Q3" s="55">
        <v>0.8</v>
      </c>
      <c r="R3" s="53">
        <v>-140</v>
      </c>
      <c r="S3" s="53">
        <v>-160</v>
      </c>
      <c r="T3" s="55">
        <v>-0.85</v>
      </c>
    </row>
    <row r="4" spans="1:20" s="1" customFormat="1" ht="18.75" customHeight="1" x14ac:dyDescent="0.35">
      <c r="A4" s="53">
        <v>40</v>
      </c>
      <c r="B4" s="53">
        <v>30</v>
      </c>
      <c r="C4" s="53">
        <v>0</v>
      </c>
      <c r="D4" s="53">
        <v>349</v>
      </c>
      <c r="E4" s="55">
        <v>358.5</v>
      </c>
      <c r="F4" s="55">
        <f t="shared" si="0"/>
        <v>9.5</v>
      </c>
      <c r="G4" s="53">
        <v>304</v>
      </c>
      <c r="H4" s="53">
        <v>306</v>
      </c>
      <c r="I4" s="56">
        <f t="shared" si="1"/>
        <v>2</v>
      </c>
      <c r="J4" s="54">
        <f t="shared" si="2"/>
        <v>1.125</v>
      </c>
      <c r="K4" s="54">
        <f>(J2-J4)/J2</f>
        <v>-7.1428571428571383E-2</v>
      </c>
      <c r="L4" s="55">
        <f t="shared" si="3"/>
        <v>-7.1428571428571379</v>
      </c>
      <c r="M4" s="54">
        <f>(E4-H4)/A4</f>
        <v>1.3125</v>
      </c>
      <c r="N4" s="54">
        <f>(M2-M4)/M2</f>
        <v>-0.41891891891891886</v>
      </c>
      <c r="O4" s="55">
        <f t="shared" si="4"/>
        <v>-41.891891891891888</v>
      </c>
      <c r="P4" s="55">
        <v>0.7</v>
      </c>
      <c r="Q4" s="55">
        <v>0.83</v>
      </c>
      <c r="R4" s="53">
        <v>-130</v>
      </c>
      <c r="S4" s="53">
        <v>-150</v>
      </c>
      <c r="T4" s="53">
        <v>-90</v>
      </c>
    </row>
    <row r="5" spans="1:20" s="1" customFormat="1" ht="18.75" customHeight="1" x14ac:dyDescent="0.35">
      <c r="A5" s="53">
        <v>80</v>
      </c>
      <c r="B5" s="53">
        <v>90</v>
      </c>
      <c r="C5" s="53">
        <v>0</v>
      </c>
      <c r="D5" s="53">
        <v>350</v>
      </c>
      <c r="E5" s="53">
        <v>355</v>
      </c>
      <c r="F5" s="53">
        <f t="shared" si="0"/>
        <v>5</v>
      </c>
      <c r="G5" s="53">
        <v>302</v>
      </c>
      <c r="H5" s="53">
        <v>320</v>
      </c>
      <c r="I5" s="56">
        <f t="shared" si="1"/>
        <v>18</v>
      </c>
      <c r="J5" s="54">
        <f t="shared" si="2"/>
        <v>0.6</v>
      </c>
      <c r="K5" s="55">
        <v>0</v>
      </c>
      <c r="L5" s="55">
        <v>0</v>
      </c>
      <c r="M5" s="54">
        <f t="shared" ref="M5:M15" si="5">(E6-H6)/A6</f>
        <v>0.5625</v>
      </c>
      <c r="N5" s="55">
        <v>0</v>
      </c>
      <c r="O5" s="55">
        <v>0</v>
      </c>
      <c r="P5" s="55">
        <v>0.75</v>
      </c>
      <c r="Q5" s="53">
        <v>1</v>
      </c>
      <c r="R5" s="53">
        <v>-125</v>
      </c>
      <c r="S5" s="53">
        <v>-150</v>
      </c>
      <c r="T5" s="53">
        <v>0</v>
      </c>
    </row>
    <row r="6" spans="1:20" s="1" customFormat="1" ht="18.75" customHeight="1" x14ac:dyDescent="0.35">
      <c r="A6" s="53">
        <v>80</v>
      </c>
      <c r="B6" s="53">
        <v>60</v>
      </c>
      <c r="C6" s="53">
        <v>0</v>
      </c>
      <c r="D6" s="53">
        <v>355</v>
      </c>
      <c r="E6" s="53">
        <v>358</v>
      </c>
      <c r="F6" s="53">
        <f t="shared" si="0"/>
        <v>3</v>
      </c>
      <c r="G6" s="53">
        <v>305</v>
      </c>
      <c r="H6" s="53">
        <v>313</v>
      </c>
      <c r="I6" s="56">
        <f t="shared" si="1"/>
        <v>8</v>
      </c>
      <c r="J6" s="54">
        <f t="shared" si="2"/>
        <v>0.625</v>
      </c>
      <c r="K6" s="54">
        <f>(J5-J6)/J5</f>
        <v>-4.1666666666666706E-2</v>
      </c>
      <c r="L6" s="55">
        <f t="shared" si="3"/>
        <v>-4.1666666666666705</v>
      </c>
      <c r="M6" s="54">
        <f t="shared" si="5"/>
        <v>0.45</v>
      </c>
      <c r="N6" s="54">
        <f>(M5-M6)/M5</f>
        <v>0.19999999999999998</v>
      </c>
      <c r="O6" s="55">
        <f t="shared" si="4"/>
        <v>20</v>
      </c>
      <c r="P6" s="55">
        <v>0.8</v>
      </c>
      <c r="Q6" s="53">
        <v>1</v>
      </c>
      <c r="R6" s="53">
        <v>-85</v>
      </c>
      <c r="S6" s="53">
        <v>-100</v>
      </c>
      <c r="T6" s="53">
        <v>0</v>
      </c>
    </row>
    <row r="7" spans="1:20" s="1" customFormat="1" ht="18.75" customHeight="1" x14ac:dyDescent="0.35">
      <c r="A7" s="53">
        <v>80</v>
      </c>
      <c r="B7" s="53">
        <v>30</v>
      </c>
      <c r="C7" s="53">
        <v>0</v>
      </c>
      <c r="D7" s="53">
        <v>348</v>
      </c>
      <c r="E7" s="53">
        <v>358</v>
      </c>
      <c r="F7" s="53">
        <f t="shared" si="0"/>
        <v>10</v>
      </c>
      <c r="G7" s="53">
        <v>303</v>
      </c>
      <c r="H7" s="53">
        <v>322</v>
      </c>
      <c r="I7" s="56">
        <f t="shared" si="1"/>
        <v>19</v>
      </c>
      <c r="J7" s="54">
        <f t="shared" si="2"/>
        <v>0.5625</v>
      </c>
      <c r="K7" s="54">
        <f>(J5-J7)/J5</f>
        <v>6.2499999999999965E-2</v>
      </c>
      <c r="L7" s="55">
        <f t="shared" si="3"/>
        <v>6.2499999999999964</v>
      </c>
      <c r="M7" s="54">
        <f t="shared" si="5"/>
        <v>0.75624999999999998</v>
      </c>
      <c r="N7" s="54">
        <f>(M5-M7)/M5</f>
        <v>-0.34444444444444439</v>
      </c>
      <c r="O7" s="55">
        <f t="shared" si="4"/>
        <v>-34.444444444444436</v>
      </c>
      <c r="P7" s="55">
        <v>0.65</v>
      </c>
      <c r="Q7" s="53">
        <v>1</v>
      </c>
      <c r="R7" s="53">
        <v>-160</v>
      </c>
      <c r="S7" s="53">
        <v>-200</v>
      </c>
      <c r="T7" s="53">
        <v>0</v>
      </c>
    </row>
    <row r="8" spans="1:20" s="1" customFormat="1" ht="19.5" customHeight="1" x14ac:dyDescent="0.35">
      <c r="A8" s="57">
        <v>80</v>
      </c>
      <c r="B8" s="57">
        <v>0</v>
      </c>
      <c r="C8" s="57">
        <v>0</v>
      </c>
      <c r="D8" s="57">
        <v>360</v>
      </c>
      <c r="E8" s="57">
        <v>364</v>
      </c>
      <c r="F8" s="57">
        <f t="shared" si="0"/>
        <v>4</v>
      </c>
      <c r="G8" s="57">
        <v>303</v>
      </c>
      <c r="H8" s="58">
        <v>303.5</v>
      </c>
      <c r="I8" s="59">
        <f t="shared" si="1"/>
        <v>0.5</v>
      </c>
      <c r="J8" s="60">
        <f t="shared" si="2"/>
        <v>0.71250000000000002</v>
      </c>
      <c r="K8" s="60">
        <f>(J5-J8)/J5</f>
        <v>-0.18750000000000008</v>
      </c>
      <c r="L8" s="55">
        <f t="shared" si="3"/>
        <v>-18.750000000000007</v>
      </c>
      <c r="M8" s="60">
        <f t="shared" si="5"/>
        <v>0.4</v>
      </c>
      <c r="N8" s="60">
        <f>(M5-M8)/M5</f>
        <v>0.28888888888888886</v>
      </c>
      <c r="O8" s="55">
        <f t="shared" si="4"/>
        <v>28.888888888888886</v>
      </c>
      <c r="P8" s="58">
        <v>0.7</v>
      </c>
      <c r="Q8" s="58">
        <v>0.75</v>
      </c>
      <c r="R8" s="57">
        <v>-150</v>
      </c>
      <c r="S8" s="57">
        <v>-160</v>
      </c>
      <c r="T8" s="57">
        <v>-140</v>
      </c>
    </row>
    <row r="9" spans="1:20" s="1" customFormat="1" ht="18.75" customHeight="1" x14ac:dyDescent="0.35">
      <c r="A9" s="53">
        <v>100</v>
      </c>
      <c r="B9" s="53">
        <v>90</v>
      </c>
      <c r="C9" s="53">
        <v>0</v>
      </c>
      <c r="D9" s="53">
        <v>352</v>
      </c>
      <c r="E9" s="53">
        <v>355</v>
      </c>
      <c r="F9" s="53">
        <f t="shared" si="0"/>
        <v>3</v>
      </c>
      <c r="G9" s="53">
        <v>305</v>
      </c>
      <c r="H9" s="53">
        <v>315</v>
      </c>
      <c r="I9" s="56">
        <f t="shared" si="1"/>
        <v>10</v>
      </c>
      <c r="J9" s="54">
        <f t="shared" si="2"/>
        <v>0.47</v>
      </c>
      <c r="K9" s="54">
        <v>0</v>
      </c>
      <c r="L9" s="55">
        <v>0</v>
      </c>
      <c r="M9" s="54">
        <f t="shared" si="5"/>
        <v>0.37</v>
      </c>
      <c r="N9" s="54">
        <v>0</v>
      </c>
      <c r="O9" s="55">
        <v>0</v>
      </c>
      <c r="P9" s="55">
        <v>0.72</v>
      </c>
      <c r="Q9" s="53">
        <v>1</v>
      </c>
      <c r="R9" s="53">
        <v>-130</v>
      </c>
      <c r="S9" s="53">
        <v>-160</v>
      </c>
      <c r="T9" s="53">
        <v>0</v>
      </c>
    </row>
    <row r="10" spans="1:20" s="1" customFormat="1" ht="18.75" customHeight="1" x14ac:dyDescent="0.35">
      <c r="A10" s="53">
        <v>100</v>
      </c>
      <c r="B10" s="53">
        <v>60</v>
      </c>
      <c r="C10" s="53">
        <v>0</v>
      </c>
      <c r="D10" s="53">
        <v>353</v>
      </c>
      <c r="E10" s="53">
        <v>358</v>
      </c>
      <c r="F10" s="53">
        <f t="shared" si="0"/>
        <v>5</v>
      </c>
      <c r="G10" s="53">
        <v>306</v>
      </c>
      <c r="H10" s="53">
        <v>321</v>
      </c>
      <c r="I10" s="56">
        <f t="shared" si="1"/>
        <v>15</v>
      </c>
      <c r="J10" s="54">
        <f t="shared" si="2"/>
        <v>0.47</v>
      </c>
      <c r="K10" s="54">
        <f>(J9-J10)/J9</f>
        <v>0</v>
      </c>
      <c r="L10" s="55">
        <f t="shared" si="3"/>
        <v>0</v>
      </c>
      <c r="M10" s="54">
        <f t="shared" si="5"/>
        <v>0.32</v>
      </c>
      <c r="N10" s="54">
        <f>(M9-M10)/M9</f>
        <v>0.13513513513513511</v>
      </c>
      <c r="O10" s="55">
        <f t="shared" si="4"/>
        <v>13.513513513513512</v>
      </c>
      <c r="P10" s="55">
        <v>0.75</v>
      </c>
      <c r="Q10" s="53">
        <v>1</v>
      </c>
      <c r="R10" s="53">
        <v>-120</v>
      </c>
      <c r="S10" s="53">
        <v>-130</v>
      </c>
      <c r="T10" s="53">
        <v>0</v>
      </c>
    </row>
    <row r="11" spans="1:20" s="1" customFormat="1" ht="18.75" customHeight="1" x14ac:dyDescent="0.35">
      <c r="A11" s="53">
        <v>100</v>
      </c>
      <c r="B11" s="53">
        <v>30</v>
      </c>
      <c r="C11" s="53">
        <v>0</v>
      </c>
      <c r="D11" s="53">
        <v>346</v>
      </c>
      <c r="E11" s="53">
        <v>357</v>
      </c>
      <c r="F11" s="53">
        <f t="shared" si="0"/>
        <v>11</v>
      </c>
      <c r="G11" s="53">
        <v>306</v>
      </c>
      <c r="H11" s="53">
        <v>325</v>
      </c>
      <c r="I11" s="56">
        <f t="shared" si="1"/>
        <v>19</v>
      </c>
      <c r="J11" s="54">
        <f t="shared" si="2"/>
        <v>0.4</v>
      </c>
      <c r="K11" s="54">
        <f>(J9-J11)/J9</f>
        <v>0.14893617021276587</v>
      </c>
      <c r="L11" s="55">
        <f t="shared" si="3"/>
        <v>14.893617021276587</v>
      </c>
      <c r="M11" s="54">
        <f t="shared" si="5"/>
        <v>0.79</v>
      </c>
      <c r="N11" s="54">
        <f>(M9-M11)/M9</f>
        <v>-1.1351351351351353</v>
      </c>
      <c r="O11" s="55">
        <f t="shared" si="4"/>
        <v>-113.51351351351353</v>
      </c>
      <c r="P11" s="55">
        <v>0.45</v>
      </c>
      <c r="Q11" s="53">
        <v>1</v>
      </c>
      <c r="R11" s="53">
        <v>-250</v>
      </c>
      <c r="S11" s="53">
        <v>-280</v>
      </c>
      <c r="T11" s="53">
        <v>0</v>
      </c>
    </row>
    <row r="12" spans="1:20" s="1" customFormat="1" ht="18.75" customHeight="1" x14ac:dyDescent="0.35">
      <c r="A12" s="53">
        <v>100</v>
      </c>
      <c r="B12" s="53">
        <v>0</v>
      </c>
      <c r="C12" s="53">
        <v>0</v>
      </c>
      <c r="D12" s="53">
        <v>350</v>
      </c>
      <c r="E12" s="53">
        <v>385</v>
      </c>
      <c r="F12" s="53">
        <f t="shared" si="0"/>
        <v>35</v>
      </c>
      <c r="G12" s="53">
        <v>302</v>
      </c>
      <c r="H12" s="53">
        <v>306</v>
      </c>
      <c r="I12" s="56">
        <f t="shared" si="1"/>
        <v>4</v>
      </c>
      <c r="J12" s="54">
        <f t="shared" si="2"/>
        <v>0.48</v>
      </c>
      <c r="K12" s="54">
        <f>(J9-J12)/J9</f>
        <v>-2.1276595744680871E-2</v>
      </c>
      <c r="L12" s="55">
        <f t="shared" si="3"/>
        <v>-2.1276595744680873</v>
      </c>
      <c r="M12" s="54">
        <f t="shared" si="5"/>
        <v>0.34166666666666667</v>
      </c>
      <c r="N12" s="54">
        <f>(M9-M12)/M9</f>
        <v>7.6576576576576544E-2</v>
      </c>
      <c r="O12" s="55">
        <f t="shared" si="4"/>
        <v>7.657657657657654</v>
      </c>
      <c r="P12" s="55">
        <v>0.67</v>
      </c>
      <c r="Q12" s="55">
        <v>0.69</v>
      </c>
      <c r="R12" s="53">
        <v>-270</v>
      </c>
      <c r="S12" s="53">
        <v>-370</v>
      </c>
      <c r="T12" s="53">
        <v>-240</v>
      </c>
    </row>
    <row r="13" spans="1:20" s="1" customFormat="1" ht="18.75" customHeight="1" x14ac:dyDescent="0.35">
      <c r="A13" s="53">
        <v>120</v>
      </c>
      <c r="B13" s="53">
        <v>90</v>
      </c>
      <c r="C13" s="53">
        <v>0</v>
      </c>
      <c r="D13" s="53">
        <v>353</v>
      </c>
      <c r="E13" s="53">
        <v>356</v>
      </c>
      <c r="F13" s="53">
        <f t="shared" si="0"/>
        <v>3</v>
      </c>
      <c r="G13" s="53">
        <v>304</v>
      </c>
      <c r="H13" s="53">
        <v>315</v>
      </c>
      <c r="I13" s="56">
        <f t="shared" si="1"/>
        <v>11</v>
      </c>
      <c r="J13" s="54">
        <f t="shared" si="2"/>
        <v>0.40833333333333333</v>
      </c>
      <c r="K13" s="54">
        <v>0</v>
      </c>
      <c r="L13" s="55">
        <v>0</v>
      </c>
      <c r="M13" s="54">
        <f t="shared" si="5"/>
        <v>0.35833333333333334</v>
      </c>
      <c r="N13" s="54">
        <v>0</v>
      </c>
      <c r="O13" s="55">
        <v>0</v>
      </c>
      <c r="P13" s="55">
        <v>0.77</v>
      </c>
      <c r="Q13" s="53">
        <v>1</v>
      </c>
      <c r="R13" s="53">
        <v>-100</v>
      </c>
      <c r="S13" s="53">
        <v>-130</v>
      </c>
      <c r="T13" s="53">
        <v>0</v>
      </c>
    </row>
    <row r="14" spans="1:20" s="1" customFormat="1" ht="18.75" customHeight="1" x14ac:dyDescent="0.35">
      <c r="A14" s="53">
        <v>120</v>
      </c>
      <c r="B14" s="53">
        <v>60</v>
      </c>
      <c r="C14" s="53">
        <v>0</v>
      </c>
      <c r="D14" s="53">
        <v>353</v>
      </c>
      <c r="E14" s="53">
        <v>356</v>
      </c>
      <c r="F14" s="53">
        <f t="shared" si="0"/>
        <v>3</v>
      </c>
      <c r="G14" s="53">
        <v>307</v>
      </c>
      <c r="H14" s="53">
        <v>313</v>
      </c>
      <c r="I14" s="56">
        <f t="shared" si="1"/>
        <v>6</v>
      </c>
      <c r="J14" s="54">
        <f t="shared" si="2"/>
        <v>0.38333333333333336</v>
      </c>
      <c r="K14" s="54">
        <f>(J13-J14)/J13</f>
        <v>6.122448979591829E-2</v>
      </c>
      <c r="L14" s="55">
        <f t="shared" si="3"/>
        <v>6.1224489795918293</v>
      </c>
      <c r="M14" s="54">
        <f t="shared" si="5"/>
        <v>0.29166666666666669</v>
      </c>
      <c r="N14" s="54">
        <f>(M13-M14)/M13</f>
        <v>0.18604651162790695</v>
      </c>
      <c r="O14" s="55">
        <f t="shared" si="4"/>
        <v>18.604651162790695</v>
      </c>
      <c r="P14" s="55">
        <v>0.8</v>
      </c>
      <c r="Q14" s="53">
        <v>1</v>
      </c>
      <c r="R14" s="53">
        <v>-75</v>
      </c>
      <c r="S14" s="53">
        <v>-85</v>
      </c>
      <c r="T14" s="53">
        <v>0</v>
      </c>
    </row>
    <row r="15" spans="1:20" s="1" customFormat="1" ht="18.75" customHeight="1" x14ac:dyDescent="0.35">
      <c r="A15" s="53">
        <v>120</v>
      </c>
      <c r="B15" s="53">
        <v>30</v>
      </c>
      <c r="C15" s="53">
        <v>0</v>
      </c>
      <c r="D15" s="53">
        <v>348</v>
      </c>
      <c r="E15" s="53">
        <v>358</v>
      </c>
      <c r="F15" s="53">
        <f t="shared" si="0"/>
        <v>10</v>
      </c>
      <c r="G15" s="53">
        <v>303</v>
      </c>
      <c r="H15" s="53">
        <v>323</v>
      </c>
      <c r="I15" s="56">
        <f t="shared" si="1"/>
        <v>20</v>
      </c>
      <c r="J15" s="54">
        <f t="shared" si="2"/>
        <v>0.375</v>
      </c>
      <c r="K15" s="54">
        <f>(J13-J15)/J13</f>
        <v>8.1632653061224469E-2</v>
      </c>
      <c r="L15" s="55">
        <f t="shared" si="3"/>
        <v>8.1632653061224474</v>
      </c>
      <c r="M15" s="54">
        <f t="shared" si="5"/>
        <v>1.2375</v>
      </c>
      <c r="N15" s="54">
        <f>(M13-M15)/M13</f>
        <v>-2.4534883720930232</v>
      </c>
      <c r="O15" s="55">
        <f t="shared" si="4"/>
        <v>-245.3488372093023</v>
      </c>
      <c r="P15" s="55">
        <v>0.6</v>
      </c>
      <c r="Q15" s="53">
        <v>1</v>
      </c>
      <c r="R15" s="53">
        <v>-185</v>
      </c>
      <c r="S15" s="53">
        <v>-230</v>
      </c>
      <c r="T15" s="53">
        <v>0</v>
      </c>
    </row>
    <row r="16" spans="1:20" s="1" customFormat="1" ht="18.75" customHeight="1" x14ac:dyDescent="0.35">
      <c r="A16" s="53">
        <v>40</v>
      </c>
      <c r="B16" s="53">
        <v>90</v>
      </c>
      <c r="C16" s="53">
        <v>90</v>
      </c>
      <c r="D16" s="53">
        <v>342</v>
      </c>
      <c r="E16" s="53">
        <v>355</v>
      </c>
      <c r="F16" s="53">
        <f t="shared" si="0"/>
        <v>13</v>
      </c>
      <c r="G16" s="55">
        <v>304.5</v>
      </c>
      <c r="H16" s="55">
        <v>305.5</v>
      </c>
      <c r="I16" s="56">
        <f t="shared" si="1"/>
        <v>1</v>
      </c>
      <c r="J16" s="54">
        <f t="shared" si="2"/>
        <v>0.9375</v>
      </c>
      <c r="K16" s="54">
        <f>(J2-J16)/J2</f>
        <v>0.10714285714285718</v>
      </c>
      <c r="L16" s="55">
        <f t="shared" si="3"/>
        <v>10.714285714285717</v>
      </c>
      <c r="M16" s="54">
        <f t="shared" ref="M16:M26" si="6">(E16-H16)/A16</f>
        <v>1.2375</v>
      </c>
      <c r="N16" s="54">
        <f>(M2-M16)/M2</f>
        <v>-0.33783783783783783</v>
      </c>
      <c r="O16" s="55">
        <f t="shared" si="4"/>
        <v>-33.783783783783782</v>
      </c>
      <c r="P16" s="55">
        <v>0.5</v>
      </c>
      <c r="Q16" s="55">
        <v>0.57999999999999996</v>
      </c>
      <c r="R16" s="53">
        <v>-220</v>
      </c>
      <c r="S16" s="53">
        <v>-235</v>
      </c>
      <c r="T16" s="53">
        <v>-225</v>
      </c>
    </row>
    <row r="17" spans="1:20" s="1" customFormat="1" ht="18.75" customHeight="1" x14ac:dyDescent="0.35">
      <c r="A17" s="53">
        <v>40</v>
      </c>
      <c r="B17" s="53">
        <v>90</v>
      </c>
      <c r="C17" s="53">
        <v>60</v>
      </c>
      <c r="D17" s="53">
        <v>347</v>
      </c>
      <c r="E17" s="53">
        <v>352</v>
      </c>
      <c r="F17" s="53">
        <f t="shared" si="0"/>
        <v>5</v>
      </c>
      <c r="G17" s="53">
        <v>305</v>
      </c>
      <c r="H17" s="53">
        <v>307</v>
      </c>
      <c r="I17" s="56">
        <f t="shared" si="1"/>
        <v>2</v>
      </c>
      <c r="J17" s="54">
        <f t="shared" si="2"/>
        <v>1.05</v>
      </c>
      <c r="K17" s="54">
        <f>(J2-J17)/J2</f>
        <v>0</v>
      </c>
      <c r="L17" s="55">
        <f t="shared" si="3"/>
        <v>0</v>
      </c>
      <c r="M17" s="54">
        <f t="shared" si="6"/>
        <v>1.125</v>
      </c>
      <c r="N17" s="54">
        <f>(M2-M17)/M2</f>
        <v>-0.21621621621621614</v>
      </c>
      <c r="O17" s="55">
        <f t="shared" si="4"/>
        <v>-21.621621621621614</v>
      </c>
      <c r="P17" s="55">
        <v>0.6</v>
      </c>
      <c r="Q17" s="55">
        <v>0.72</v>
      </c>
      <c r="R17" s="53">
        <v>-175</v>
      </c>
      <c r="S17" s="53">
        <v>-190</v>
      </c>
      <c r="T17" s="53">
        <v>-120</v>
      </c>
    </row>
    <row r="18" spans="1:20" s="1" customFormat="1" ht="18.75" customHeight="1" x14ac:dyDescent="0.35">
      <c r="A18" s="53">
        <v>40</v>
      </c>
      <c r="B18" s="53">
        <v>90</v>
      </c>
      <c r="C18" s="53">
        <v>30</v>
      </c>
      <c r="D18" s="53">
        <v>350</v>
      </c>
      <c r="E18" s="53">
        <v>354</v>
      </c>
      <c r="F18" s="53">
        <f t="shared" si="0"/>
        <v>4</v>
      </c>
      <c r="G18" s="53">
        <v>305</v>
      </c>
      <c r="H18" s="53">
        <v>306</v>
      </c>
      <c r="I18" s="56">
        <f t="shared" si="1"/>
        <v>1</v>
      </c>
      <c r="J18" s="54">
        <f t="shared" si="2"/>
        <v>1.125</v>
      </c>
      <c r="K18" s="54">
        <f>(J2-J18)/J2</f>
        <v>-7.1428571428571383E-2</v>
      </c>
      <c r="L18" s="55">
        <f t="shared" si="3"/>
        <v>-7.1428571428571379</v>
      </c>
      <c r="M18" s="54">
        <f t="shared" si="6"/>
        <v>1.2</v>
      </c>
      <c r="N18" s="54">
        <f>(M2-M18)/M2</f>
        <v>-0.2972972972972972</v>
      </c>
      <c r="O18" s="55">
        <f t="shared" si="4"/>
        <v>-29.729729729729719</v>
      </c>
      <c r="P18" s="55">
        <v>0.55000000000000004</v>
      </c>
      <c r="Q18" s="55">
        <v>0.6</v>
      </c>
      <c r="R18" s="53">
        <v>-230</v>
      </c>
      <c r="S18" s="53">
        <v>-240</v>
      </c>
      <c r="T18" s="53">
        <v>-220</v>
      </c>
    </row>
    <row r="19" spans="1:20" s="1" customFormat="1" ht="20" customHeight="1" x14ac:dyDescent="0.35">
      <c r="A19" s="53">
        <v>80</v>
      </c>
      <c r="B19" s="53">
        <v>90</v>
      </c>
      <c r="C19" s="53">
        <v>60</v>
      </c>
      <c r="D19" s="53">
        <v>348</v>
      </c>
      <c r="E19" s="53">
        <v>360</v>
      </c>
      <c r="F19" s="53">
        <f t="shared" si="0"/>
        <v>12</v>
      </c>
      <c r="G19" s="53">
        <v>304</v>
      </c>
      <c r="H19" s="53">
        <v>329</v>
      </c>
      <c r="I19" s="56">
        <f t="shared" si="1"/>
        <v>25</v>
      </c>
      <c r="J19" s="54">
        <f t="shared" si="2"/>
        <v>0.55000000000000004</v>
      </c>
      <c r="K19" s="54">
        <f>(J5-J19)/J5</f>
        <v>8.3333333333333232E-2</v>
      </c>
      <c r="L19" s="55">
        <f t="shared" si="3"/>
        <v>8.3333333333333233</v>
      </c>
      <c r="M19" s="54">
        <f t="shared" si="6"/>
        <v>0.38750000000000001</v>
      </c>
      <c r="N19" s="54">
        <f>(M5-M19)/M5</f>
        <v>0.31111111111111112</v>
      </c>
      <c r="O19" s="55">
        <f t="shared" si="4"/>
        <v>31.111111111111111</v>
      </c>
      <c r="P19" s="55">
        <v>0.62</v>
      </c>
      <c r="Q19" s="53">
        <v>1</v>
      </c>
      <c r="R19" s="53">
        <v>-160</v>
      </c>
      <c r="S19" s="53">
        <v>-230</v>
      </c>
      <c r="T19" s="53">
        <v>0</v>
      </c>
    </row>
    <row r="20" spans="1:20" s="1" customFormat="1" ht="20" customHeight="1" x14ac:dyDescent="0.35">
      <c r="A20" s="53">
        <v>80</v>
      </c>
      <c r="B20" s="53">
        <v>90</v>
      </c>
      <c r="C20" s="53">
        <v>30</v>
      </c>
      <c r="D20" s="53">
        <v>346</v>
      </c>
      <c r="E20" s="53">
        <v>354</v>
      </c>
      <c r="F20" s="53">
        <f t="shared" si="0"/>
        <v>8</v>
      </c>
      <c r="G20" s="53">
        <v>304</v>
      </c>
      <c r="H20" s="53">
        <v>326</v>
      </c>
      <c r="I20" s="56">
        <f t="shared" si="1"/>
        <v>22</v>
      </c>
      <c r="J20" s="54">
        <f t="shared" si="2"/>
        <v>0.52500000000000002</v>
      </c>
      <c r="K20" s="54">
        <f>(J5-J20)/J5</f>
        <v>0.12499999999999993</v>
      </c>
      <c r="L20" s="55">
        <f t="shared" si="3"/>
        <v>12.499999999999993</v>
      </c>
      <c r="M20" s="54">
        <f t="shared" si="6"/>
        <v>0.35</v>
      </c>
      <c r="N20" s="54">
        <f>(M5-M20)/M5</f>
        <v>0.37777777777777782</v>
      </c>
      <c r="O20" s="55">
        <f t="shared" si="4"/>
        <v>37.777777777777786</v>
      </c>
      <c r="P20" s="55">
        <v>0.46</v>
      </c>
      <c r="Q20" s="55">
        <v>0.92</v>
      </c>
      <c r="R20" s="53">
        <v>-255</v>
      </c>
      <c r="S20" s="53">
        <v>-300</v>
      </c>
      <c r="T20" s="53">
        <v>-20</v>
      </c>
    </row>
    <row r="21" spans="1:20" s="1" customFormat="1" ht="20" customHeight="1" x14ac:dyDescent="0.35">
      <c r="A21" s="53">
        <v>100</v>
      </c>
      <c r="B21" s="53">
        <v>90</v>
      </c>
      <c r="C21" s="53">
        <v>90</v>
      </c>
      <c r="D21" s="53">
        <v>352</v>
      </c>
      <c r="E21" s="53">
        <v>374</v>
      </c>
      <c r="F21" s="53">
        <f t="shared" si="0"/>
        <v>22</v>
      </c>
      <c r="G21" s="53">
        <v>306</v>
      </c>
      <c r="H21" s="53">
        <v>308</v>
      </c>
      <c r="I21" s="56">
        <f t="shared" si="1"/>
        <v>2</v>
      </c>
      <c r="J21" s="54">
        <f t="shared" si="2"/>
        <v>0.46</v>
      </c>
      <c r="K21" s="54">
        <f>(J9-J21)/J9</f>
        <v>2.1276595744680753E-2</v>
      </c>
      <c r="L21" s="55">
        <f t="shared" si="3"/>
        <v>2.1276595744680753</v>
      </c>
      <c r="M21" s="54">
        <f t="shared" si="6"/>
        <v>0.66</v>
      </c>
      <c r="N21" s="54">
        <f>(M9-M21)/M9</f>
        <v>-0.78378378378378388</v>
      </c>
      <c r="O21" s="55">
        <f t="shared" si="4"/>
        <v>-78.378378378378386</v>
      </c>
      <c r="P21" s="55">
        <v>0.55000000000000004</v>
      </c>
      <c r="Q21" s="53">
        <v>1</v>
      </c>
      <c r="R21" s="53">
        <v>-150</v>
      </c>
      <c r="S21" s="53">
        <v>-170</v>
      </c>
      <c r="T21" s="53">
        <v>0</v>
      </c>
    </row>
    <row r="22" spans="1:20" s="1" customFormat="1" ht="20" customHeight="1" x14ac:dyDescent="0.35">
      <c r="A22" s="53">
        <v>100</v>
      </c>
      <c r="B22" s="53">
        <v>90</v>
      </c>
      <c r="C22" s="53">
        <v>60</v>
      </c>
      <c r="D22" s="53">
        <v>341</v>
      </c>
      <c r="E22" s="53">
        <v>357</v>
      </c>
      <c r="F22" s="53">
        <f t="shared" si="0"/>
        <v>16</v>
      </c>
      <c r="G22" s="53">
        <v>302</v>
      </c>
      <c r="H22" s="53">
        <v>330</v>
      </c>
      <c r="I22" s="56">
        <f t="shared" si="1"/>
        <v>28</v>
      </c>
      <c r="J22" s="54">
        <f t="shared" si="2"/>
        <v>0.39</v>
      </c>
      <c r="K22" s="54">
        <f>(J9-J22)/J9</f>
        <v>0.17021276595744672</v>
      </c>
      <c r="L22" s="55">
        <f t="shared" si="3"/>
        <v>17.021276595744673</v>
      </c>
      <c r="M22" s="54">
        <f t="shared" si="6"/>
        <v>0.27</v>
      </c>
      <c r="N22" s="54">
        <f>(M9-M22)/M9</f>
        <v>0.27027027027027023</v>
      </c>
      <c r="O22" s="55">
        <f t="shared" si="4"/>
        <v>27.027027027027025</v>
      </c>
      <c r="P22" s="55">
        <v>0.48</v>
      </c>
      <c r="Q22" s="53">
        <v>1</v>
      </c>
      <c r="R22" s="53">
        <v>-220</v>
      </c>
      <c r="S22" s="53">
        <v>-250</v>
      </c>
      <c r="T22" s="53">
        <v>0</v>
      </c>
    </row>
    <row r="23" spans="1:20" s="1" customFormat="1" ht="20" customHeight="1" x14ac:dyDescent="0.35">
      <c r="A23" s="53">
        <v>100</v>
      </c>
      <c r="B23" s="53">
        <v>90</v>
      </c>
      <c r="C23" s="53">
        <v>30</v>
      </c>
      <c r="D23" s="53">
        <v>346</v>
      </c>
      <c r="E23" s="53">
        <v>355</v>
      </c>
      <c r="F23" s="53">
        <f t="shared" si="0"/>
        <v>9</v>
      </c>
      <c r="G23" s="53">
        <v>306</v>
      </c>
      <c r="H23" s="53">
        <v>329</v>
      </c>
      <c r="I23" s="56">
        <f t="shared" si="1"/>
        <v>23</v>
      </c>
      <c r="J23" s="54">
        <f t="shared" si="2"/>
        <v>0.4</v>
      </c>
      <c r="K23" s="54">
        <f>(J9-J23)/J9</f>
        <v>0.14893617021276587</v>
      </c>
      <c r="L23" s="55">
        <f t="shared" si="3"/>
        <v>14.893617021276587</v>
      </c>
      <c r="M23" s="54">
        <f t="shared" si="6"/>
        <v>0.26</v>
      </c>
      <c r="N23" s="54">
        <f>(M9-M23)/M9</f>
        <v>0.29729729729729726</v>
      </c>
      <c r="O23" s="55">
        <f t="shared" si="4"/>
        <v>29.729729729729726</v>
      </c>
      <c r="P23" s="55">
        <v>0.6</v>
      </c>
      <c r="Q23" s="53">
        <v>1</v>
      </c>
      <c r="R23" s="53">
        <v>-150</v>
      </c>
      <c r="S23" s="53">
        <v>-210</v>
      </c>
      <c r="T23" s="53">
        <v>0</v>
      </c>
    </row>
    <row r="24" spans="1:20" s="1" customFormat="1" ht="20" customHeight="1" x14ac:dyDescent="0.35">
      <c r="A24" s="53">
        <v>120</v>
      </c>
      <c r="B24" s="53">
        <v>90</v>
      </c>
      <c r="C24" s="53">
        <v>90</v>
      </c>
      <c r="D24" s="53">
        <v>354</v>
      </c>
      <c r="E24" s="53">
        <v>370</v>
      </c>
      <c r="F24" s="53">
        <f t="shared" si="0"/>
        <v>16</v>
      </c>
      <c r="G24" s="53">
        <v>304</v>
      </c>
      <c r="H24" s="53">
        <v>314</v>
      </c>
      <c r="I24" s="56">
        <f t="shared" si="1"/>
        <v>10</v>
      </c>
      <c r="J24" s="54">
        <f t="shared" si="2"/>
        <v>0.41666666666666669</v>
      </c>
      <c r="K24" s="54">
        <f>(J13-J24)/J13</f>
        <v>-2.0408163265306187E-2</v>
      </c>
      <c r="L24" s="55">
        <f t="shared" si="3"/>
        <v>-2.0408163265306185</v>
      </c>
      <c r="M24" s="54">
        <f t="shared" si="6"/>
        <v>0.46666666666666667</v>
      </c>
      <c r="N24" s="54">
        <f>(M13-M24)/M13</f>
        <v>-0.30232558139534882</v>
      </c>
      <c r="O24" s="55">
        <f t="shared" si="4"/>
        <v>-30.232558139534881</v>
      </c>
      <c r="P24" s="55">
        <v>0.6</v>
      </c>
      <c r="Q24" s="53">
        <v>1</v>
      </c>
      <c r="R24" s="53">
        <v>215</v>
      </c>
      <c r="S24" s="53">
        <v>-230</v>
      </c>
      <c r="T24" s="53">
        <v>0</v>
      </c>
    </row>
    <row r="25" spans="1:20" s="1" customFormat="1" ht="20" customHeight="1" x14ac:dyDescent="0.35">
      <c r="A25" s="53">
        <v>120</v>
      </c>
      <c r="B25" s="53">
        <v>90</v>
      </c>
      <c r="C25" s="53">
        <v>60</v>
      </c>
      <c r="D25" s="53">
        <v>342</v>
      </c>
      <c r="E25" s="53">
        <v>355</v>
      </c>
      <c r="F25" s="53">
        <f t="shared" si="0"/>
        <v>13</v>
      </c>
      <c r="G25" s="53">
        <v>302</v>
      </c>
      <c r="H25" s="53">
        <v>330</v>
      </c>
      <c r="I25" s="56">
        <f t="shared" si="1"/>
        <v>28</v>
      </c>
      <c r="J25" s="54">
        <f t="shared" si="2"/>
        <v>0.33333333333333331</v>
      </c>
      <c r="K25" s="54">
        <f>(J13-J25)/J13</f>
        <v>0.18367346938775514</v>
      </c>
      <c r="L25" s="55">
        <f t="shared" si="3"/>
        <v>18.367346938775515</v>
      </c>
      <c r="M25" s="54">
        <f t="shared" si="6"/>
        <v>0.20833333333333334</v>
      </c>
      <c r="N25" s="54">
        <f>(M13-M25)/M13</f>
        <v>0.41860465116279066</v>
      </c>
      <c r="O25" s="55">
        <f t="shared" si="4"/>
        <v>41.860465116279066</v>
      </c>
      <c r="P25" s="55">
        <v>0.54</v>
      </c>
      <c r="Q25" s="53">
        <v>1</v>
      </c>
      <c r="R25" s="53">
        <v>-215</v>
      </c>
      <c r="S25" s="53">
        <v>-230</v>
      </c>
      <c r="T25" s="53">
        <v>0</v>
      </c>
    </row>
    <row r="26" spans="1:20" s="1" customFormat="1" ht="20" customHeight="1" x14ac:dyDescent="0.35">
      <c r="A26" s="53">
        <v>120</v>
      </c>
      <c r="B26" s="53">
        <v>90</v>
      </c>
      <c r="C26" s="53">
        <v>30</v>
      </c>
      <c r="D26" s="53">
        <v>343</v>
      </c>
      <c r="E26" s="53">
        <v>355</v>
      </c>
      <c r="F26" s="53">
        <f t="shared" si="0"/>
        <v>12</v>
      </c>
      <c r="G26" s="53">
        <v>304</v>
      </c>
      <c r="H26" s="53">
        <v>327</v>
      </c>
      <c r="I26" s="56">
        <f t="shared" si="1"/>
        <v>23</v>
      </c>
      <c r="J26" s="54">
        <f t="shared" si="2"/>
        <v>0.32500000000000001</v>
      </c>
      <c r="K26" s="54">
        <f>(J13-J26)/J13</f>
        <v>0.20408163265306117</v>
      </c>
      <c r="L26" s="55">
        <f t="shared" si="3"/>
        <v>20.408163265306118</v>
      </c>
      <c r="M26" s="54">
        <f t="shared" si="6"/>
        <v>0.23333333333333334</v>
      </c>
      <c r="N26" s="54">
        <f>(M13-M26)/M13</f>
        <v>0.34883720930232559</v>
      </c>
      <c r="O26" s="55">
        <f t="shared" si="4"/>
        <v>34.883720930232556</v>
      </c>
      <c r="P26" s="55">
        <v>0.52</v>
      </c>
      <c r="Q26" s="53">
        <v>1</v>
      </c>
      <c r="R26" s="53">
        <v>-200</v>
      </c>
      <c r="S26" s="53">
        <v>-250</v>
      </c>
      <c r="T26" s="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36"/>
  <sheetViews>
    <sheetView workbookViewId="0">
      <pane ySplit="1" topLeftCell="A2" activePane="bottomLeft" state="frozen"/>
      <selection pane="bottomLeft" activeCell="L8" sqref="L8"/>
    </sheetView>
  </sheetViews>
  <sheetFormatPr defaultRowHeight="14.5" x14ac:dyDescent="0.35"/>
  <cols>
    <col min="1" max="3" width="8.54296875" style="49" bestFit="1" customWidth="1"/>
    <col min="4" max="8" width="9" style="49" bestFit="1" customWidth="1"/>
    <col min="9" max="9" width="8.54296875" style="49" bestFit="1" customWidth="1"/>
    <col min="10" max="11" width="10.26953125" style="50" bestFit="1" customWidth="1"/>
    <col min="12" max="12" width="8.54296875" style="51" bestFit="1" customWidth="1"/>
    <col min="13" max="13" width="8.54296875" style="49" bestFit="1" customWidth="1"/>
    <col min="14" max="14" width="11.81640625" style="49" bestFit="1" customWidth="1"/>
    <col min="15" max="15" width="13.54296875" style="49" bestFit="1" customWidth="1"/>
    <col min="16" max="16" width="11.81640625" style="49" bestFit="1" customWidth="1"/>
    <col min="17" max="17" width="14.453125" style="52" bestFit="1" customWidth="1"/>
  </cols>
  <sheetData>
    <row r="1" spans="1:17" s="1" customFormat="1" ht="3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/>
    </row>
    <row r="2" spans="1:17" s="1" customFormat="1" ht="20.5" customHeight="1" x14ac:dyDescent="0.35">
      <c r="A2" s="6">
        <v>40</v>
      </c>
      <c r="B2" s="7">
        <v>90</v>
      </c>
      <c r="C2" s="7">
        <v>0</v>
      </c>
      <c r="D2" s="7">
        <v>348</v>
      </c>
      <c r="E2" s="7">
        <v>352</v>
      </c>
      <c r="F2" s="7">
        <f t="shared" ref="F2:F36" si="0">(E2-D2)</f>
        <v>4</v>
      </c>
      <c r="G2" s="7">
        <v>306</v>
      </c>
      <c r="H2" s="7">
        <v>315</v>
      </c>
      <c r="I2" s="7">
        <f t="shared" ref="I2:I36" si="1">(H2-G2)</f>
        <v>9</v>
      </c>
      <c r="J2" s="8">
        <f t="shared" ref="J2:J36" si="2">(D2-G2)/A2</f>
        <v>1.05</v>
      </c>
      <c r="K2" s="8">
        <f t="shared" ref="K2:K36" si="3">(E2-H2)/A2</f>
        <v>0.92500000000000004</v>
      </c>
      <c r="L2" s="9">
        <v>0.62</v>
      </c>
      <c r="M2" s="9">
        <v>0.75</v>
      </c>
      <c r="N2" s="7">
        <v>-155</v>
      </c>
      <c r="O2" s="7">
        <v>-190</v>
      </c>
      <c r="P2" s="10">
        <v>-100</v>
      </c>
      <c r="Q2" s="5"/>
    </row>
    <row r="3" spans="1:17" s="1" customFormat="1" ht="20.5" customHeight="1" x14ac:dyDescent="0.35">
      <c r="A3" s="11">
        <v>40</v>
      </c>
      <c r="B3" s="12">
        <v>60</v>
      </c>
      <c r="C3" s="12">
        <v>0</v>
      </c>
      <c r="D3" s="12">
        <v>349</v>
      </c>
      <c r="E3" s="12">
        <v>357</v>
      </c>
      <c r="F3" s="12">
        <f t="shared" si="0"/>
        <v>8</v>
      </c>
      <c r="G3" s="12">
        <v>304</v>
      </c>
      <c r="H3" s="12">
        <v>305</v>
      </c>
      <c r="I3" s="13">
        <f t="shared" si="1"/>
        <v>1</v>
      </c>
      <c r="J3" s="14">
        <f t="shared" si="2"/>
        <v>1.125</v>
      </c>
      <c r="K3" s="14">
        <f t="shared" si="3"/>
        <v>1.3</v>
      </c>
      <c r="L3" s="15">
        <v>0.7</v>
      </c>
      <c r="M3" s="15">
        <v>0.8</v>
      </c>
      <c r="N3" s="12">
        <v>-140</v>
      </c>
      <c r="O3" s="12">
        <v>-160</v>
      </c>
      <c r="P3" s="16">
        <v>-0.85</v>
      </c>
      <c r="Q3" s="5"/>
    </row>
    <row r="4" spans="1:17" s="1" customFormat="1" ht="20.5" customHeight="1" x14ac:dyDescent="0.35">
      <c r="A4" s="11">
        <v>40</v>
      </c>
      <c r="B4" s="12">
        <v>30</v>
      </c>
      <c r="C4" s="12">
        <v>0</v>
      </c>
      <c r="D4" s="12">
        <v>349</v>
      </c>
      <c r="E4" s="15">
        <v>358.5</v>
      </c>
      <c r="F4" s="15">
        <f t="shared" si="0"/>
        <v>9.5</v>
      </c>
      <c r="G4" s="12">
        <v>304</v>
      </c>
      <c r="H4" s="12">
        <v>306</v>
      </c>
      <c r="I4" s="13">
        <f t="shared" si="1"/>
        <v>2</v>
      </c>
      <c r="J4" s="14">
        <f t="shared" si="2"/>
        <v>1.125</v>
      </c>
      <c r="K4" s="14">
        <f t="shared" si="3"/>
        <v>1.3125</v>
      </c>
      <c r="L4" s="15">
        <v>0.7</v>
      </c>
      <c r="M4" s="15">
        <v>0.83</v>
      </c>
      <c r="N4" s="12">
        <v>-130</v>
      </c>
      <c r="O4" s="12">
        <v>-150</v>
      </c>
      <c r="P4" s="17">
        <v>-90</v>
      </c>
      <c r="Q4" s="5"/>
    </row>
    <row r="5" spans="1:17" s="1" customFormat="1" ht="20.5" customHeight="1" x14ac:dyDescent="0.35">
      <c r="A5" s="18">
        <v>40</v>
      </c>
      <c r="B5" s="19">
        <v>0</v>
      </c>
      <c r="C5" s="19">
        <v>0</v>
      </c>
      <c r="D5" s="20"/>
      <c r="E5" s="20"/>
      <c r="F5" s="19">
        <f t="shared" si="0"/>
        <v>0</v>
      </c>
      <c r="G5" s="20"/>
      <c r="H5" s="20"/>
      <c r="I5" s="21">
        <f t="shared" si="1"/>
        <v>0</v>
      </c>
      <c r="J5" s="22">
        <f t="shared" si="2"/>
        <v>0</v>
      </c>
      <c r="K5" s="22">
        <f t="shared" si="3"/>
        <v>0</v>
      </c>
      <c r="L5" s="23"/>
      <c r="M5" s="19">
        <v>1</v>
      </c>
      <c r="N5" s="20"/>
      <c r="O5" s="20"/>
      <c r="P5" s="24">
        <v>0</v>
      </c>
      <c r="Q5" s="5"/>
    </row>
    <row r="6" spans="1:17" s="1" customFormat="1" ht="20.5" customHeight="1" x14ac:dyDescent="0.35">
      <c r="A6" s="25">
        <v>60</v>
      </c>
      <c r="B6" s="26">
        <v>90</v>
      </c>
      <c r="C6" s="26">
        <v>0</v>
      </c>
      <c r="D6" s="27"/>
      <c r="E6" s="27"/>
      <c r="F6" s="7">
        <f t="shared" si="0"/>
        <v>0</v>
      </c>
      <c r="G6" s="27"/>
      <c r="H6" s="27"/>
      <c r="I6" s="28">
        <f t="shared" si="1"/>
        <v>0</v>
      </c>
      <c r="J6" s="8">
        <f t="shared" si="2"/>
        <v>0</v>
      </c>
      <c r="K6" s="8">
        <f t="shared" si="3"/>
        <v>0</v>
      </c>
      <c r="L6" s="29"/>
      <c r="M6" s="7">
        <v>1</v>
      </c>
      <c r="N6" s="27"/>
      <c r="O6" s="27"/>
      <c r="P6" s="10">
        <v>0</v>
      </c>
      <c r="Q6" s="5" t="s">
        <v>16</v>
      </c>
    </row>
    <row r="7" spans="1:17" s="1" customFormat="1" ht="20.5" customHeight="1" x14ac:dyDescent="0.35">
      <c r="A7" s="11">
        <v>60</v>
      </c>
      <c r="B7" s="12">
        <v>60</v>
      </c>
      <c r="C7" s="12">
        <v>0</v>
      </c>
      <c r="D7" s="12">
        <v>350</v>
      </c>
      <c r="E7" s="12">
        <v>355</v>
      </c>
      <c r="F7" s="12">
        <f t="shared" si="0"/>
        <v>5</v>
      </c>
      <c r="G7" s="12">
        <v>303</v>
      </c>
      <c r="H7" s="12">
        <v>319</v>
      </c>
      <c r="I7" s="13">
        <f t="shared" si="1"/>
        <v>16</v>
      </c>
      <c r="J7" s="14">
        <f t="shared" si="2"/>
        <v>0.78333333333333333</v>
      </c>
      <c r="K7" s="14">
        <f t="shared" si="3"/>
        <v>0.6</v>
      </c>
      <c r="L7" s="15">
        <v>0.65</v>
      </c>
      <c r="M7" s="12">
        <v>1</v>
      </c>
      <c r="N7" s="12">
        <v>-160</v>
      </c>
      <c r="O7" s="12">
        <v>-180</v>
      </c>
      <c r="P7" s="17">
        <v>0</v>
      </c>
      <c r="Q7" s="5"/>
    </row>
    <row r="8" spans="1:17" s="1" customFormat="1" ht="20.5" customHeight="1" x14ac:dyDescent="0.35">
      <c r="A8" s="11">
        <v>60</v>
      </c>
      <c r="B8" s="12">
        <v>30</v>
      </c>
      <c r="C8" s="12">
        <v>0</v>
      </c>
      <c r="D8" s="12">
        <v>350</v>
      </c>
      <c r="E8" s="12">
        <v>359</v>
      </c>
      <c r="F8" s="12">
        <f t="shared" si="0"/>
        <v>9</v>
      </c>
      <c r="G8" s="12">
        <v>305</v>
      </c>
      <c r="H8" s="12">
        <v>321</v>
      </c>
      <c r="I8" s="13">
        <f t="shared" si="1"/>
        <v>16</v>
      </c>
      <c r="J8" s="14">
        <f t="shared" si="2"/>
        <v>0.75</v>
      </c>
      <c r="K8" s="14">
        <f t="shared" si="3"/>
        <v>0.6333333333333333</v>
      </c>
      <c r="L8" s="15">
        <v>0.75</v>
      </c>
      <c r="M8" s="12">
        <v>1</v>
      </c>
      <c r="N8" s="12">
        <v>-120</v>
      </c>
      <c r="O8" s="12">
        <v>-150</v>
      </c>
      <c r="P8" s="17">
        <v>0</v>
      </c>
      <c r="Q8" s="5"/>
    </row>
    <row r="9" spans="1:17" s="1" customFormat="1" ht="20.5" customHeight="1" x14ac:dyDescent="0.35">
      <c r="A9" s="18">
        <v>60</v>
      </c>
      <c r="B9" s="19">
        <v>0</v>
      </c>
      <c r="C9" s="19">
        <v>0</v>
      </c>
      <c r="D9" s="20"/>
      <c r="E9" s="20"/>
      <c r="F9" s="19">
        <f t="shared" si="0"/>
        <v>0</v>
      </c>
      <c r="G9" s="20"/>
      <c r="H9" s="20"/>
      <c r="I9" s="21">
        <f t="shared" si="1"/>
        <v>0</v>
      </c>
      <c r="J9" s="22">
        <f t="shared" si="2"/>
        <v>0</v>
      </c>
      <c r="K9" s="22">
        <f t="shared" si="3"/>
        <v>0</v>
      </c>
      <c r="L9" s="23"/>
      <c r="M9" s="19">
        <v>1</v>
      </c>
      <c r="N9" s="20"/>
      <c r="O9" s="20"/>
      <c r="P9" s="24">
        <v>0</v>
      </c>
      <c r="Q9" s="5"/>
    </row>
    <row r="10" spans="1:17" s="1" customFormat="1" ht="20.5" customHeight="1" x14ac:dyDescent="0.35">
      <c r="A10" s="6">
        <v>80</v>
      </c>
      <c r="B10" s="7">
        <v>90</v>
      </c>
      <c r="C10" s="7">
        <v>0</v>
      </c>
      <c r="D10" s="7">
        <v>350</v>
      </c>
      <c r="E10" s="7">
        <v>355</v>
      </c>
      <c r="F10" s="7">
        <f t="shared" si="0"/>
        <v>5</v>
      </c>
      <c r="G10" s="7">
        <v>302</v>
      </c>
      <c r="H10" s="7">
        <v>320</v>
      </c>
      <c r="I10" s="28">
        <f t="shared" si="1"/>
        <v>18</v>
      </c>
      <c r="J10" s="8">
        <f t="shared" si="2"/>
        <v>0.6</v>
      </c>
      <c r="K10" s="8">
        <f t="shared" si="3"/>
        <v>0.4375</v>
      </c>
      <c r="L10" s="9">
        <v>0.75</v>
      </c>
      <c r="M10" s="7">
        <v>1</v>
      </c>
      <c r="N10" s="7">
        <v>-125</v>
      </c>
      <c r="O10" s="7">
        <v>-150</v>
      </c>
      <c r="P10" s="10">
        <v>0</v>
      </c>
      <c r="Q10" s="5"/>
    </row>
    <row r="11" spans="1:17" s="1" customFormat="1" ht="20.5" customHeight="1" x14ac:dyDescent="0.35">
      <c r="A11" s="11">
        <v>80</v>
      </c>
      <c r="B11" s="12">
        <v>60</v>
      </c>
      <c r="C11" s="12">
        <v>0</v>
      </c>
      <c r="D11" s="12">
        <v>355</v>
      </c>
      <c r="E11" s="12">
        <v>358</v>
      </c>
      <c r="F11" s="12">
        <f t="shared" si="0"/>
        <v>3</v>
      </c>
      <c r="G11" s="12">
        <v>305</v>
      </c>
      <c r="H11" s="12">
        <v>313</v>
      </c>
      <c r="I11" s="13">
        <f t="shared" si="1"/>
        <v>8</v>
      </c>
      <c r="J11" s="14">
        <f t="shared" si="2"/>
        <v>0.625</v>
      </c>
      <c r="K11" s="14">
        <f t="shared" si="3"/>
        <v>0.5625</v>
      </c>
      <c r="L11" s="15">
        <v>0.8</v>
      </c>
      <c r="M11" s="12">
        <v>1</v>
      </c>
      <c r="N11" s="12">
        <v>-85</v>
      </c>
      <c r="O11" s="12">
        <v>-100</v>
      </c>
      <c r="P11" s="17">
        <v>0</v>
      </c>
      <c r="Q11" s="5"/>
    </row>
    <row r="12" spans="1:17" s="1" customFormat="1" ht="20.5" customHeight="1" x14ac:dyDescent="0.35">
      <c r="A12" s="11">
        <v>80</v>
      </c>
      <c r="B12" s="12">
        <v>30</v>
      </c>
      <c r="C12" s="12">
        <v>0</v>
      </c>
      <c r="D12" s="12">
        <v>348</v>
      </c>
      <c r="E12" s="12">
        <v>358</v>
      </c>
      <c r="F12" s="12">
        <f t="shared" si="0"/>
        <v>10</v>
      </c>
      <c r="G12" s="12">
        <v>303</v>
      </c>
      <c r="H12" s="12">
        <v>322</v>
      </c>
      <c r="I12" s="13">
        <f t="shared" si="1"/>
        <v>19</v>
      </c>
      <c r="J12" s="14">
        <f t="shared" si="2"/>
        <v>0.5625</v>
      </c>
      <c r="K12" s="14">
        <f t="shared" si="3"/>
        <v>0.45</v>
      </c>
      <c r="L12" s="15">
        <v>0.65</v>
      </c>
      <c r="M12" s="12">
        <v>1</v>
      </c>
      <c r="N12" s="12">
        <v>-160</v>
      </c>
      <c r="O12" s="12">
        <v>-200</v>
      </c>
      <c r="P12" s="17">
        <v>0</v>
      </c>
      <c r="Q12" s="5"/>
    </row>
    <row r="13" spans="1:17" s="1" customFormat="1" ht="20.5" customHeight="1" x14ac:dyDescent="0.35">
      <c r="A13" s="30">
        <v>80</v>
      </c>
      <c r="B13" s="31">
        <v>0</v>
      </c>
      <c r="C13" s="31">
        <v>0</v>
      </c>
      <c r="D13" s="31">
        <v>360</v>
      </c>
      <c r="E13" s="31">
        <v>364</v>
      </c>
      <c r="F13" s="31">
        <f t="shared" si="0"/>
        <v>4</v>
      </c>
      <c r="G13" s="31">
        <v>303</v>
      </c>
      <c r="H13" s="32">
        <v>303.5</v>
      </c>
      <c r="I13" s="33">
        <f t="shared" si="1"/>
        <v>0.5</v>
      </c>
      <c r="J13" s="22">
        <f t="shared" si="2"/>
        <v>0.71250000000000002</v>
      </c>
      <c r="K13" s="22">
        <f t="shared" si="3"/>
        <v>0.75624999999999998</v>
      </c>
      <c r="L13" s="32">
        <v>0.7</v>
      </c>
      <c r="M13" s="32">
        <v>0.75</v>
      </c>
      <c r="N13" s="31">
        <v>-150</v>
      </c>
      <c r="O13" s="31">
        <v>-160</v>
      </c>
      <c r="P13" s="34">
        <v>-140</v>
      </c>
      <c r="Q13" s="5" t="s">
        <v>17</v>
      </c>
    </row>
    <row r="14" spans="1:17" s="1" customFormat="1" ht="20.5" customHeight="1" x14ac:dyDescent="0.35">
      <c r="A14" s="6">
        <v>100</v>
      </c>
      <c r="B14" s="7">
        <v>90</v>
      </c>
      <c r="C14" s="7">
        <v>0</v>
      </c>
      <c r="D14" s="7">
        <v>352</v>
      </c>
      <c r="E14" s="7">
        <v>355</v>
      </c>
      <c r="F14" s="7">
        <f t="shared" si="0"/>
        <v>3</v>
      </c>
      <c r="G14" s="7">
        <v>305</v>
      </c>
      <c r="H14" s="7">
        <v>315</v>
      </c>
      <c r="I14" s="28">
        <f t="shared" si="1"/>
        <v>10</v>
      </c>
      <c r="J14" s="8">
        <f t="shared" si="2"/>
        <v>0.47</v>
      </c>
      <c r="K14" s="8">
        <f t="shared" si="3"/>
        <v>0.4</v>
      </c>
      <c r="L14" s="9">
        <v>0.72</v>
      </c>
      <c r="M14" s="7">
        <v>1</v>
      </c>
      <c r="N14" s="7">
        <v>-130</v>
      </c>
      <c r="O14" s="7">
        <v>-160</v>
      </c>
      <c r="P14" s="10">
        <v>0</v>
      </c>
      <c r="Q14" s="5"/>
    </row>
    <row r="15" spans="1:17" s="1" customFormat="1" ht="20.5" customHeight="1" x14ac:dyDescent="0.35">
      <c r="A15" s="11">
        <v>100</v>
      </c>
      <c r="B15" s="12">
        <v>60</v>
      </c>
      <c r="C15" s="12">
        <v>0</v>
      </c>
      <c r="D15" s="12">
        <v>353</v>
      </c>
      <c r="E15" s="12">
        <v>358</v>
      </c>
      <c r="F15" s="12">
        <f t="shared" si="0"/>
        <v>5</v>
      </c>
      <c r="G15" s="12">
        <v>306</v>
      </c>
      <c r="H15" s="12">
        <v>321</v>
      </c>
      <c r="I15" s="13">
        <f t="shared" si="1"/>
        <v>15</v>
      </c>
      <c r="J15" s="14">
        <f t="shared" si="2"/>
        <v>0.47</v>
      </c>
      <c r="K15" s="14">
        <f t="shared" si="3"/>
        <v>0.37</v>
      </c>
      <c r="L15" s="15">
        <v>0.75</v>
      </c>
      <c r="M15" s="12">
        <v>1</v>
      </c>
      <c r="N15" s="12">
        <v>-120</v>
      </c>
      <c r="O15" s="12">
        <v>-130</v>
      </c>
      <c r="P15" s="17">
        <v>0</v>
      </c>
      <c r="Q15" s="5"/>
    </row>
    <row r="16" spans="1:17" s="1" customFormat="1" ht="20.5" customHeight="1" x14ac:dyDescent="0.35">
      <c r="A16" s="11">
        <v>100</v>
      </c>
      <c r="B16" s="12">
        <v>30</v>
      </c>
      <c r="C16" s="12">
        <v>0</v>
      </c>
      <c r="D16" s="12">
        <v>346</v>
      </c>
      <c r="E16" s="12">
        <v>357</v>
      </c>
      <c r="F16" s="12">
        <f t="shared" si="0"/>
        <v>11</v>
      </c>
      <c r="G16" s="12">
        <v>306</v>
      </c>
      <c r="H16" s="12">
        <v>325</v>
      </c>
      <c r="I16" s="13">
        <f t="shared" si="1"/>
        <v>19</v>
      </c>
      <c r="J16" s="14">
        <f t="shared" si="2"/>
        <v>0.4</v>
      </c>
      <c r="K16" s="14">
        <f t="shared" si="3"/>
        <v>0.32</v>
      </c>
      <c r="L16" s="15">
        <v>0.45</v>
      </c>
      <c r="M16" s="12">
        <v>1</v>
      </c>
      <c r="N16" s="12">
        <v>-250</v>
      </c>
      <c r="O16" s="12">
        <v>-280</v>
      </c>
      <c r="P16" s="17">
        <v>0</v>
      </c>
      <c r="Q16" s="5"/>
    </row>
    <row r="17" spans="1:17" s="1" customFormat="1" ht="20.5" customHeight="1" x14ac:dyDescent="0.35">
      <c r="A17" s="18">
        <v>100</v>
      </c>
      <c r="B17" s="19">
        <v>0</v>
      </c>
      <c r="C17" s="19">
        <v>0</v>
      </c>
      <c r="D17" s="19">
        <v>350</v>
      </c>
      <c r="E17" s="19">
        <v>385</v>
      </c>
      <c r="F17" s="19">
        <f t="shared" si="0"/>
        <v>35</v>
      </c>
      <c r="G17" s="19">
        <v>302</v>
      </c>
      <c r="H17" s="19">
        <v>306</v>
      </c>
      <c r="I17" s="21">
        <f t="shared" si="1"/>
        <v>4</v>
      </c>
      <c r="J17" s="22">
        <f t="shared" si="2"/>
        <v>0.48</v>
      </c>
      <c r="K17" s="22">
        <f t="shared" si="3"/>
        <v>0.79</v>
      </c>
      <c r="L17" s="35">
        <v>0.67</v>
      </c>
      <c r="M17" s="35">
        <v>0.69</v>
      </c>
      <c r="N17" s="19">
        <v>-270</v>
      </c>
      <c r="O17" s="19">
        <v>-370</v>
      </c>
      <c r="P17" s="24">
        <v>-240</v>
      </c>
      <c r="Q17" s="5"/>
    </row>
    <row r="18" spans="1:17" s="1" customFormat="1" ht="20.5" customHeight="1" x14ac:dyDescent="0.35">
      <c r="A18" s="36">
        <v>120</v>
      </c>
      <c r="B18" s="37">
        <v>90</v>
      </c>
      <c r="C18" s="37">
        <v>0</v>
      </c>
      <c r="D18" s="37">
        <v>353</v>
      </c>
      <c r="E18" s="37">
        <v>356</v>
      </c>
      <c r="F18" s="37">
        <f t="shared" si="0"/>
        <v>3</v>
      </c>
      <c r="G18" s="37">
        <v>304</v>
      </c>
      <c r="H18" s="37">
        <v>315</v>
      </c>
      <c r="I18" s="38">
        <f t="shared" si="1"/>
        <v>11</v>
      </c>
      <c r="J18" s="39">
        <f t="shared" si="2"/>
        <v>0.40833333333333333</v>
      </c>
      <c r="K18" s="39">
        <f t="shared" si="3"/>
        <v>0.34166666666666667</v>
      </c>
      <c r="L18" s="40">
        <v>0.77</v>
      </c>
      <c r="M18" s="37">
        <v>1</v>
      </c>
      <c r="N18" s="37">
        <v>-100</v>
      </c>
      <c r="O18" s="37">
        <v>-130</v>
      </c>
      <c r="P18" s="41">
        <v>0</v>
      </c>
      <c r="Q18" s="5"/>
    </row>
    <row r="19" spans="1:17" s="1" customFormat="1" ht="20.5" customHeight="1" x14ac:dyDescent="0.35">
      <c r="A19" s="11">
        <v>120</v>
      </c>
      <c r="B19" s="12">
        <v>60</v>
      </c>
      <c r="C19" s="12">
        <v>0</v>
      </c>
      <c r="D19" s="12">
        <v>353</v>
      </c>
      <c r="E19" s="12">
        <v>356</v>
      </c>
      <c r="F19" s="12">
        <f t="shared" si="0"/>
        <v>3</v>
      </c>
      <c r="G19" s="12">
        <v>307</v>
      </c>
      <c r="H19" s="12">
        <v>313</v>
      </c>
      <c r="I19" s="13">
        <f t="shared" si="1"/>
        <v>6</v>
      </c>
      <c r="J19" s="14">
        <f t="shared" si="2"/>
        <v>0.38333333333333336</v>
      </c>
      <c r="K19" s="14">
        <f t="shared" si="3"/>
        <v>0.35833333333333334</v>
      </c>
      <c r="L19" s="15">
        <v>0.8</v>
      </c>
      <c r="M19" s="12">
        <v>1</v>
      </c>
      <c r="N19" s="12">
        <v>-75</v>
      </c>
      <c r="O19" s="12">
        <v>-85</v>
      </c>
      <c r="P19" s="17">
        <v>0</v>
      </c>
      <c r="Q19" s="5"/>
    </row>
    <row r="20" spans="1:17" s="1" customFormat="1" ht="20" customHeight="1" x14ac:dyDescent="0.35">
      <c r="A20" s="11">
        <v>120</v>
      </c>
      <c r="B20" s="12">
        <v>30</v>
      </c>
      <c r="C20" s="12">
        <v>0</v>
      </c>
      <c r="D20" s="12">
        <v>348</v>
      </c>
      <c r="E20" s="12">
        <v>358</v>
      </c>
      <c r="F20" s="12">
        <f t="shared" si="0"/>
        <v>10</v>
      </c>
      <c r="G20" s="12">
        <v>303</v>
      </c>
      <c r="H20" s="12">
        <v>323</v>
      </c>
      <c r="I20" s="13">
        <f t="shared" si="1"/>
        <v>20</v>
      </c>
      <c r="J20" s="14">
        <f t="shared" si="2"/>
        <v>0.375</v>
      </c>
      <c r="K20" s="14">
        <f t="shared" si="3"/>
        <v>0.29166666666666669</v>
      </c>
      <c r="L20" s="15">
        <v>0.6</v>
      </c>
      <c r="M20" s="12">
        <v>1</v>
      </c>
      <c r="N20" s="12">
        <v>-185</v>
      </c>
      <c r="O20" s="12">
        <v>-230</v>
      </c>
      <c r="P20" s="17">
        <v>0</v>
      </c>
      <c r="Q20" s="5"/>
    </row>
    <row r="21" spans="1:17" s="1" customFormat="1" ht="20" customHeight="1" x14ac:dyDescent="0.35">
      <c r="A21" s="42">
        <v>120</v>
      </c>
      <c r="B21" s="43">
        <v>0</v>
      </c>
      <c r="C21" s="43">
        <v>0</v>
      </c>
      <c r="D21" s="2"/>
      <c r="E21" s="2"/>
      <c r="F21" s="43">
        <f t="shared" si="0"/>
        <v>0</v>
      </c>
      <c r="G21" s="2"/>
      <c r="H21" s="2"/>
      <c r="I21" s="44">
        <f t="shared" si="1"/>
        <v>0</v>
      </c>
      <c r="J21" s="45">
        <f t="shared" si="2"/>
        <v>0</v>
      </c>
      <c r="K21" s="45">
        <f t="shared" si="3"/>
        <v>0</v>
      </c>
      <c r="L21" s="4"/>
      <c r="M21" s="43">
        <v>1</v>
      </c>
      <c r="N21" s="2"/>
      <c r="O21" s="2"/>
      <c r="P21" s="46">
        <v>0</v>
      </c>
      <c r="Q21" s="5"/>
    </row>
    <row r="22" spans="1:17" s="1" customFormat="1" ht="20" customHeight="1" x14ac:dyDescent="0.35">
      <c r="A22" s="6">
        <v>40</v>
      </c>
      <c r="B22" s="7">
        <v>90</v>
      </c>
      <c r="C22" s="7">
        <v>90</v>
      </c>
      <c r="D22" s="7">
        <v>342</v>
      </c>
      <c r="E22" s="7">
        <v>355</v>
      </c>
      <c r="F22" s="7">
        <f t="shared" si="0"/>
        <v>13</v>
      </c>
      <c r="G22" s="9">
        <v>304.5</v>
      </c>
      <c r="H22" s="9">
        <v>305.5</v>
      </c>
      <c r="I22" s="28">
        <f t="shared" si="1"/>
        <v>1</v>
      </c>
      <c r="J22" s="8">
        <f t="shared" si="2"/>
        <v>0.9375</v>
      </c>
      <c r="K22" s="8">
        <f t="shared" si="3"/>
        <v>1.2375</v>
      </c>
      <c r="L22" s="9">
        <v>0.5</v>
      </c>
      <c r="M22" s="9">
        <v>0.57999999999999996</v>
      </c>
      <c r="N22" s="7">
        <v>-220</v>
      </c>
      <c r="O22" s="7">
        <v>-235</v>
      </c>
      <c r="P22" s="10">
        <v>-225</v>
      </c>
      <c r="Q22" s="5"/>
    </row>
    <row r="23" spans="1:17" s="1" customFormat="1" ht="20" customHeight="1" x14ac:dyDescent="0.35">
      <c r="A23" s="11">
        <v>40</v>
      </c>
      <c r="B23" s="12">
        <v>90</v>
      </c>
      <c r="C23" s="12">
        <v>60</v>
      </c>
      <c r="D23" s="12">
        <v>347</v>
      </c>
      <c r="E23" s="12">
        <v>352</v>
      </c>
      <c r="F23" s="12">
        <f t="shared" si="0"/>
        <v>5</v>
      </c>
      <c r="G23" s="12">
        <v>305</v>
      </c>
      <c r="H23" s="12">
        <v>307</v>
      </c>
      <c r="I23" s="13">
        <f t="shared" si="1"/>
        <v>2</v>
      </c>
      <c r="J23" s="14">
        <f t="shared" si="2"/>
        <v>1.05</v>
      </c>
      <c r="K23" s="14">
        <f t="shared" si="3"/>
        <v>1.125</v>
      </c>
      <c r="L23" s="15">
        <v>0.6</v>
      </c>
      <c r="M23" s="15">
        <v>0.72</v>
      </c>
      <c r="N23" s="12">
        <v>-175</v>
      </c>
      <c r="O23" s="12">
        <v>-190</v>
      </c>
      <c r="P23" s="17">
        <v>-120</v>
      </c>
      <c r="Q23" s="5"/>
    </row>
    <row r="24" spans="1:17" s="1" customFormat="1" ht="20" customHeight="1" x14ac:dyDescent="0.35">
      <c r="A24" s="18">
        <v>40</v>
      </c>
      <c r="B24" s="19">
        <v>90</v>
      </c>
      <c r="C24" s="19">
        <v>30</v>
      </c>
      <c r="D24" s="19">
        <v>350</v>
      </c>
      <c r="E24" s="19">
        <v>354</v>
      </c>
      <c r="F24" s="19">
        <f t="shared" si="0"/>
        <v>4</v>
      </c>
      <c r="G24" s="19">
        <v>305</v>
      </c>
      <c r="H24" s="19">
        <v>306</v>
      </c>
      <c r="I24" s="21">
        <f t="shared" si="1"/>
        <v>1</v>
      </c>
      <c r="J24" s="22">
        <f t="shared" si="2"/>
        <v>1.125</v>
      </c>
      <c r="K24" s="22">
        <f t="shared" si="3"/>
        <v>1.2</v>
      </c>
      <c r="L24" s="35">
        <v>0.55000000000000004</v>
      </c>
      <c r="M24" s="35">
        <v>0.6</v>
      </c>
      <c r="N24" s="19">
        <v>-230</v>
      </c>
      <c r="O24" s="19">
        <v>-240</v>
      </c>
      <c r="P24" s="24">
        <v>-220</v>
      </c>
      <c r="Q24" s="5"/>
    </row>
    <row r="25" spans="1:17" s="1" customFormat="1" ht="20" customHeight="1" x14ac:dyDescent="0.35">
      <c r="A25" s="6">
        <v>60</v>
      </c>
      <c r="B25" s="7">
        <v>90</v>
      </c>
      <c r="C25" s="7">
        <v>90</v>
      </c>
      <c r="D25" s="7">
        <v>345</v>
      </c>
      <c r="E25" s="7">
        <v>368</v>
      </c>
      <c r="F25" s="7">
        <f t="shared" si="0"/>
        <v>23</v>
      </c>
      <c r="G25" s="9">
        <v>304.5</v>
      </c>
      <c r="H25" s="9">
        <v>307.5</v>
      </c>
      <c r="I25" s="28">
        <f t="shared" si="1"/>
        <v>3</v>
      </c>
      <c r="J25" s="8">
        <f t="shared" si="2"/>
        <v>0.67500000000000004</v>
      </c>
      <c r="K25" s="8">
        <f t="shared" si="3"/>
        <v>1.0083333333333333</v>
      </c>
      <c r="L25" s="9">
        <v>0.62</v>
      </c>
      <c r="M25" s="9">
        <v>0.8</v>
      </c>
      <c r="N25" s="7">
        <v>-155</v>
      </c>
      <c r="O25" s="7">
        <v>-175</v>
      </c>
      <c r="P25" s="10">
        <v>-90</v>
      </c>
      <c r="Q25" s="5"/>
    </row>
    <row r="26" spans="1:17" s="1" customFormat="1" ht="20" customHeight="1" x14ac:dyDescent="0.35">
      <c r="A26" s="11">
        <v>60</v>
      </c>
      <c r="B26" s="12">
        <v>90</v>
      </c>
      <c r="C26" s="12">
        <v>60</v>
      </c>
      <c r="D26" s="12">
        <v>342</v>
      </c>
      <c r="E26" s="12">
        <v>351</v>
      </c>
      <c r="F26" s="12">
        <f t="shared" si="0"/>
        <v>9</v>
      </c>
      <c r="G26" s="12">
        <v>305</v>
      </c>
      <c r="H26" s="12">
        <v>320</v>
      </c>
      <c r="I26" s="13">
        <f t="shared" si="1"/>
        <v>15</v>
      </c>
      <c r="J26" s="14">
        <f t="shared" si="2"/>
        <v>0.6166666666666667</v>
      </c>
      <c r="K26" s="14">
        <f t="shared" si="3"/>
        <v>0.51666666666666672</v>
      </c>
      <c r="L26" s="15">
        <v>0.5</v>
      </c>
      <c r="M26" s="15">
        <v>0.74</v>
      </c>
      <c r="N26" s="12">
        <v>-220</v>
      </c>
      <c r="O26" s="12">
        <v>-225</v>
      </c>
      <c r="P26" s="17">
        <v>-75</v>
      </c>
      <c r="Q26" s="5"/>
    </row>
    <row r="27" spans="1:17" s="1" customFormat="1" ht="20" customHeight="1" x14ac:dyDescent="0.35">
      <c r="A27" s="18">
        <v>60</v>
      </c>
      <c r="B27" s="19">
        <v>90</v>
      </c>
      <c r="C27" s="19">
        <v>30</v>
      </c>
      <c r="D27" s="19">
        <v>351</v>
      </c>
      <c r="E27" s="19">
        <v>354</v>
      </c>
      <c r="F27" s="19">
        <f t="shared" si="0"/>
        <v>3</v>
      </c>
      <c r="G27" s="19">
        <v>307</v>
      </c>
      <c r="H27" s="19">
        <v>319</v>
      </c>
      <c r="I27" s="21">
        <f t="shared" si="1"/>
        <v>12</v>
      </c>
      <c r="J27" s="22">
        <f t="shared" si="2"/>
        <v>0.73333333333333328</v>
      </c>
      <c r="K27" s="22">
        <f t="shared" si="3"/>
        <v>0.58333333333333337</v>
      </c>
      <c r="L27" s="35">
        <v>0.68</v>
      </c>
      <c r="M27" s="35">
        <v>0.78</v>
      </c>
      <c r="N27" s="19">
        <v>-130</v>
      </c>
      <c r="O27" s="19">
        <v>-260</v>
      </c>
      <c r="P27" s="24">
        <v>-70</v>
      </c>
      <c r="Q27" s="5"/>
    </row>
    <row r="28" spans="1:17" ht="20" customHeight="1" x14ac:dyDescent="0.35">
      <c r="A28" s="6">
        <v>80</v>
      </c>
      <c r="B28" s="7">
        <v>90</v>
      </c>
      <c r="C28" s="7">
        <v>90</v>
      </c>
      <c r="D28" s="27"/>
      <c r="E28" s="27"/>
      <c r="F28" s="7">
        <f t="shared" si="0"/>
        <v>0</v>
      </c>
      <c r="G28" s="27"/>
      <c r="H28" s="27"/>
      <c r="I28" s="28">
        <f t="shared" si="1"/>
        <v>0</v>
      </c>
      <c r="J28" s="8">
        <f t="shared" si="2"/>
        <v>0</v>
      </c>
      <c r="K28" s="8">
        <f t="shared" si="3"/>
        <v>0</v>
      </c>
      <c r="L28" s="29"/>
      <c r="M28" s="7">
        <v>1</v>
      </c>
      <c r="N28" s="27"/>
      <c r="O28" s="27"/>
      <c r="P28" s="10">
        <v>0</v>
      </c>
      <c r="Q28" s="47" t="s">
        <v>18</v>
      </c>
    </row>
    <row r="29" spans="1:17" s="1" customFormat="1" ht="20" customHeight="1" x14ac:dyDescent="0.35">
      <c r="A29" s="11">
        <v>80</v>
      </c>
      <c r="B29" s="12">
        <v>90</v>
      </c>
      <c r="C29" s="12">
        <v>60</v>
      </c>
      <c r="D29" s="12">
        <v>348</v>
      </c>
      <c r="E29" s="12">
        <v>360</v>
      </c>
      <c r="F29" s="12">
        <f t="shared" si="0"/>
        <v>12</v>
      </c>
      <c r="G29" s="12">
        <v>304</v>
      </c>
      <c r="H29" s="12">
        <v>329</v>
      </c>
      <c r="I29" s="13">
        <f t="shared" si="1"/>
        <v>25</v>
      </c>
      <c r="J29" s="14">
        <f t="shared" si="2"/>
        <v>0.55000000000000004</v>
      </c>
      <c r="K29" s="14">
        <f t="shared" si="3"/>
        <v>0.38750000000000001</v>
      </c>
      <c r="L29" s="15">
        <v>0.62</v>
      </c>
      <c r="M29" s="12">
        <v>1</v>
      </c>
      <c r="N29" s="12">
        <v>-160</v>
      </c>
      <c r="O29" s="12">
        <v>-230</v>
      </c>
      <c r="P29" s="17">
        <v>0</v>
      </c>
      <c r="Q29" s="5"/>
    </row>
    <row r="30" spans="1:17" s="1" customFormat="1" ht="20" customHeight="1" x14ac:dyDescent="0.35">
      <c r="A30" s="18">
        <v>80</v>
      </c>
      <c r="B30" s="19">
        <v>90</v>
      </c>
      <c r="C30" s="19">
        <v>30</v>
      </c>
      <c r="D30" s="19">
        <v>346</v>
      </c>
      <c r="E30" s="19">
        <v>354</v>
      </c>
      <c r="F30" s="19">
        <f t="shared" si="0"/>
        <v>8</v>
      </c>
      <c r="G30" s="19">
        <v>304</v>
      </c>
      <c r="H30" s="19">
        <v>326</v>
      </c>
      <c r="I30" s="21">
        <f t="shared" si="1"/>
        <v>22</v>
      </c>
      <c r="J30" s="22">
        <f t="shared" si="2"/>
        <v>0.52500000000000002</v>
      </c>
      <c r="K30" s="22">
        <f t="shared" si="3"/>
        <v>0.35</v>
      </c>
      <c r="L30" s="35">
        <v>0.46</v>
      </c>
      <c r="M30" s="35">
        <v>0.92</v>
      </c>
      <c r="N30" s="19">
        <v>-255</v>
      </c>
      <c r="O30" s="19">
        <v>-300</v>
      </c>
      <c r="P30" s="24">
        <v>-20</v>
      </c>
      <c r="Q30" s="5"/>
    </row>
    <row r="31" spans="1:17" s="1" customFormat="1" ht="20" customHeight="1" x14ac:dyDescent="0.35">
      <c r="A31" s="37">
        <v>100</v>
      </c>
      <c r="B31" s="37">
        <v>90</v>
      </c>
      <c r="C31" s="37">
        <v>90</v>
      </c>
      <c r="D31" s="37">
        <v>352</v>
      </c>
      <c r="E31" s="37">
        <v>374</v>
      </c>
      <c r="F31" s="37">
        <f t="shared" si="0"/>
        <v>22</v>
      </c>
      <c r="G31" s="37">
        <v>306</v>
      </c>
      <c r="H31" s="37">
        <v>308</v>
      </c>
      <c r="I31" s="38">
        <f t="shared" si="1"/>
        <v>2</v>
      </c>
      <c r="J31" s="39">
        <f t="shared" si="2"/>
        <v>0.46</v>
      </c>
      <c r="K31" s="39">
        <f t="shared" si="3"/>
        <v>0.66</v>
      </c>
      <c r="L31" s="40">
        <v>0.55000000000000004</v>
      </c>
      <c r="M31" s="37">
        <v>1</v>
      </c>
      <c r="N31" s="37">
        <v>-150</v>
      </c>
      <c r="O31" s="37">
        <v>-170</v>
      </c>
      <c r="P31" s="37">
        <v>0</v>
      </c>
      <c r="Q31" s="5"/>
    </row>
    <row r="32" spans="1:17" s="1" customFormat="1" ht="20" customHeight="1" x14ac:dyDescent="0.35">
      <c r="A32" s="12">
        <v>100</v>
      </c>
      <c r="B32" s="12">
        <v>90</v>
      </c>
      <c r="C32" s="12">
        <v>60</v>
      </c>
      <c r="D32" s="12">
        <v>341</v>
      </c>
      <c r="E32" s="12">
        <v>357</v>
      </c>
      <c r="F32" s="12">
        <f t="shared" si="0"/>
        <v>16</v>
      </c>
      <c r="G32" s="12">
        <v>302</v>
      </c>
      <c r="H32" s="12">
        <v>330</v>
      </c>
      <c r="I32" s="13">
        <f t="shared" si="1"/>
        <v>28</v>
      </c>
      <c r="J32" s="14">
        <f t="shared" si="2"/>
        <v>0.39</v>
      </c>
      <c r="K32" s="14">
        <f t="shared" si="3"/>
        <v>0.27</v>
      </c>
      <c r="L32" s="15">
        <v>0.48</v>
      </c>
      <c r="M32" s="12">
        <v>1</v>
      </c>
      <c r="N32" s="12">
        <v>-220</v>
      </c>
      <c r="O32" s="12">
        <v>-250</v>
      </c>
      <c r="P32" s="12">
        <v>0</v>
      </c>
      <c r="Q32" s="5"/>
    </row>
    <row r="33" spans="1:17" s="1" customFormat="1" ht="20" customHeight="1" x14ac:dyDescent="0.35">
      <c r="A33" s="43">
        <v>100</v>
      </c>
      <c r="B33" s="43">
        <v>90</v>
      </c>
      <c r="C33" s="43">
        <v>30</v>
      </c>
      <c r="D33" s="43">
        <v>346</v>
      </c>
      <c r="E33" s="43">
        <v>355</v>
      </c>
      <c r="F33" s="43">
        <f t="shared" si="0"/>
        <v>9</v>
      </c>
      <c r="G33" s="43">
        <v>306</v>
      </c>
      <c r="H33" s="43">
        <v>329</v>
      </c>
      <c r="I33" s="44">
        <f t="shared" si="1"/>
        <v>23</v>
      </c>
      <c r="J33" s="45">
        <f t="shared" si="2"/>
        <v>0.4</v>
      </c>
      <c r="K33" s="45">
        <f t="shared" si="3"/>
        <v>0.26</v>
      </c>
      <c r="L33" s="48">
        <v>0.6</v>
      </c>
      <c r="M33" s="43">
        <v>1</v>
      </c>
      <c r="N33" s="43">
        <v>-150</v>
      </c>
      <c r="O33" s="43">
        <v>-210</v>
      </c>
      <c r="P33" s="43">
        <v>0</v>
      </c>
      <c r="Q33" s="5"/>
    </row>
    <row r="34" spans="1:17" s="1" customFormat="1" ht="20" customHeight="1" x14ac:dyDescent="0.35">
      <c r="A34" s="6">
        <v>120</v>
      </c>
      <c r="B34" s="7">
        <v>90</v>
      </c>
      <c r="C34" s="7">
        <v>90</v>
      </c>
      <c r="D34" s="7">
        <v>354</v>
      </c>
      <c r="E34" s="7">
        <v>370</v>
      </c>
      <c r="F34" s="7">
        <f t="shared" si="0"/>
        <v>16</v>
      </c>
      <c r="G34" s="7">
        <v>304</v>
      </c>
      <c r="H34" s="7">
        <v>314</v>
      </c>
      <c r="I34" s="28">
        <f t="shared" si="1"/>
        <v>10</v>
      </c>
      <c r="J34" s="8">
        <f t="shared" si="2"/>
        <v>0.41666666666666669</v>
      </c>
      <c r="K34" s="8">
        <f t="shared" si="3"/>
        <v>0.46666666666666667</v>
      </c>
      <c r="L34" s="9">
        <v>0.6</v>
      </c>
      <c r="M34" s="7">
        <v>1</v>
      </c>
      <c r="N34" s="7">
        <v>215</v>
      </c>
      <c r="O34" s="7">
        <v>-230</v>
      </c>
      <c r="P34" s="10">
        <v>0</v>
      </c>
      <c r="Q34" s="5"/>
    </row>
    <row r="35" spans="1:17" s="1" customFormat="1" ht="20" customHeight="1" x14ac:dyDescent="0.35">
      <c r="A35" s="11">
        <v>120</v>
      </c>
      <c r="B35" s="12">
        <v>90</v>
      </c>
      <c r="C35" s="12">
        <v>60</v>
      </c>
      <c r="D35" s="12">
        <v>342</v>
      </c>
      <c r="E35" s="12">
        <v>355</v>
      </c>
      <c r="F35" s="12">
        <f t="shared" si="0"/>
        <v>13</v>
      </c>
      <c r="G35" s="12">
        <v>302</v>
      </c>
      <c r="H35" s="12">
        <v>330</v>
      </c>
      <c r="I35" s="13">
        <f t="shared" si="1"/>
        <v>28</v>
      </c>
      <c r="J35" s="14">
        <f t="shared" si="2"/>
        <v>0.33333333333333331</v>
      </c>
      <c r="K35" s="14">
        <f t="shared" si="3"/>
        <v>0.20833333333333334</v>
      </c>
      <c r="L35" s="15">
        <v>0.54</v>
      </c>
      <c r="M35" s="12">
        <v>1</v>
      </c>
      <c r="N35" s="12">
        <v>-215</v>
      </c>
      <c r="O35" s="12">
        <v>-230</v>
      </c>
      <c r="P35" s="17">
        <v>0</v>
      </c>
      <c r="Q35" s="5"/>
    </row>
    <row r="36" spans="1:17" s="1" customFormat="1" ht="20" customHeight="1" x14ac:dyDescent="0.35">
      <c r="A36" s="18">
        <v>120</v>
      </c>
      <c r="B36" s="19">
        <v>90</v>
      </c>
      <c r="C36" s="19">
        <v>30</v>
      </c>
      <c r="D36" s="19">
        <v>343</v>
      </c>
      <c r="E36" s="19">
        <v>355</v>
      </c>
      <c r="F36" s="19">
        <f t="shared" si="0"/>
        <v>12</v>
      </c>
      <c r="G36" s="19">
        <v>304</v>
      </c>
      <c r="H36" s="19">
        <v>327</v>
      </c>
      <c r="I36" s="21">
        <f t="shared" si="1"/>
        <v>23</v>
      </c>
      <c r="J36" s="22">
        <f t="shared" si="2"/>
        <v>0.32500000000000001</v>
      </c>
      <c r="K36" s="22">
        <f t="shared" si="3"/>
        <v>0.23333333333333334</v>
      </c>
      <c r="L36" s="35">
        <v>0.52</v>
      </c>
      <c r="M36" s="19">
        <v>1</v>
      </c>
      <c r="N36" s="19">
        <v>-200</v>
      </c>
      <c r="O36" s="19">
        <v>-250</v>
      </c>
      <c r="P36" s="24">
        <v>0</v>
      </c>
      <c r="Q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final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Parmar</dc:creator>
  <cp:lastModifiedBy>MSI (WIN10)</cp:lastModifiedBy>
  <dcterms:created xsi:type="dcterms:W3CDTF">2025-01-25T05:48:25Z</dcterms:created>
  <dcterms:modified xsi:type="dcterms:W3CDTF">2025-01-27T05:44:29Z</dcterms:modified>
</cp:coreProperties>
</file>