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hd\php_pulsating_heat_pipe\Krp_Publications\Advanced_PHP_Manuscript\"/>
    </mc:Choice>
  </mc:AlternateContent>
  <xr:revisionPtr revIDLastSave="0" documentId="13_ncr:1_{4C22EF82-3BB1-4991-963D-9B6628C354E4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e_constant" sheetId="1" r:id="rId1"/>
    <sheet name="P_constant" sheetId="2" r:id="rId2"/>
  </sheets>
  <definedNames>
    <definedName name="_xlnm._FilterDatabase" localSheetId="1" hidden="1">P_constant!$A$2:$O$22</definedName>
    <definedName name="_xlnm._FilterDatabase" localSheetId="0" hidden="1">Te_constant!$A$2:$R$2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2" l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3" i="2"/>
  <c r="Q4" i="1"/>
  <c r="Q5" i="1"/>
  <c r="Q6" i="1"/>
  <c r="Q7" i="1"/>
  <c r="Q8" i="1"/>
  <c r="R8" i="1" s="1"/>
  <c r="Q9" i="1"/>
  <c r="R9" i="1" s="1"/>
  <c r="Q10" i="1"/>
  <c r="R10" i="1" s="1"/>
  <c r="Q11" i="1"/>
  <c r="R11" i="1" s="1"/>
  <c r="Q12" i="1"/>
  <c r="Q13" i="1"/>
  <c r="Q14" i="1"/>
  <c r="Q15" i="1"/>
  <c r="Q16" i="1"/>
  <c r="Q17" i="1"/>
  <c r="Q18" i="1"/>
  <c r="Q19" i="1"/>
  <c r="Q20" i="1"/>
  <c r="Q21" i="1"/>
  <c r="Q22" i="1"/>
  <c r="Q3" i="1"/>
  <c r="R4" i="1"/>
  <c r="R5" i="1"/>
  <c r="R6" i="1"/>
  <c r="R7" i="1"/>
  <c r="R12" i="1"/>
  <c r="R13" i="1"/>
  <c r="R14" i="1"/>
  <c r="R15" i="1"/>
  <c r="R16" i="1"/>
  <c r="R17" i="1"/>
  <c r="R18" i="1"/>
  <c r="R19" i="1"/>
  <c r="R20" i="1"/>
  <c r="R21" i="1"/>
  <c r="R22" i="1"/>
  <c r="R3" i="1"/>
  <c r="P19" i="2" l="1"/>
  <c r="P20" i="2"/>
  <c r="P21" i="2"/>
  <c r="P15" i="2"/>
  <c r="P16" i="2"/>
  <c r="P17" i="2"/>
  <c r="P11" i="2"/>
  <c r="P12" i="2"/>
  <c r="P13" i="2"/>
  <c r="P7" i="2"/>
  <c r="P8" i="2"/>
  <c r="P9" i="2"/>
  <c r="P22" i="2"/>
  <c r="P18" i="2"/>
  <c r="P14" i="2"/>
  <c r="P10" i="2"/>
  <c r="P3" i="2"/>
  <c r="P4" i="2"/>
  <c r="P5" i="2"/>
  <c r="P6" i="2"/>
  <c r="P19" i="1"/>
  <c r="P20" i="1"/>
  <c r="P21" i="1"/>
  <c r="P15" i="1"/>
  <c r="P16" i="1"/>
  <c r="P17" i="1"/>
  <c r="P11" i="1"/>
  <c r="P12" i="1"/>
  <c r="P13" i="1"/>
  <c r="P22" i="1"/>
  <c r="P18" i="1"/>
  <c r="P14" i="1"/>
  <c r="P7" i="1"/>
  <c r="P8" i="1"/>
  <c r="P9" i="1"/>
  <c r="P10" i="1"/>
  <c r="P3" i="1"/>
  <c r="P4" i="1"/>
  <c r="P5" i="1"/>
  <c r="P6" i="1"/>
</calcChain>
</file>

<file path=xl/sharedStrings.xml><?xml version="1.0" encoding="utf-8"?>
<sst xmlns="http://schemas.openxmlformats.org/spreadsheetml/2006/main" count="118" uniqueCount="22">
  <si>
    <t>Te_mean[K]</t>
  </si>
  <si>
    <t>Tc_mean[K]</t>
  </si>
  <si>
    <t>Q[W]</t>
  </si>
  <si>
    <t>Te_std[K]</t>
  </si>
  <si>
    <t>Tc_std[K]</t>
  </si>
  <si>
    <t>TR[K/W]</t>
  </si>
  <si>
    <t>alpha</t>
  </si>
  <si>
    <t>beta</t>
  </si>
  <si>
    <t>P[bar]</t>
  </si>
  <si>
    <t>WF</t>
  </si>
  <si>
    <t>DI water</t>
  </si>
  <si>
    <t>FR[%]</t>
  </si>
  <si>
    <t>Te_std[C]</t>
  </si>
  <si>
    <t>Tc_std[C]</t>
  </si>
  <si>
    <t>T_pulse[K]</t>
  </si>
  <si>
    <t>Exp</t>
  </si>
  <si>
    <t>PHP_2</t>
  </si>
  <si>
    <t>Te_mean = 350 K (Constant)</t>
  </si>
  <si>
    <t>P = 1 bar (Constant) or near to 1 bar</t>
  </si>
  <si>
    <t>Perfomance_TR[%]</t>
  </si>
  <si>
    <t>h[W/m2K]</t>
  </si>
  <si>
    <t>A[m2]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</si>
</sst>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4" xfId="0" applyBorder="1"/>
    <xf numFmtId="0" fontId="0" fillId="4" borderId="4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0" xfId="0" applyNumberFormat="1"/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zoomScale="80" zoomScaleNormal="80" workbookViewId="0">
      <selection activeCell="P11" sqref="P11"/>
    </sheetView>
  </sheetViews>
  <sheetFormatPr defaultRowHeight="14.5" x14ac:dyDescent="0.35"/>
  <cols>
    <col min="3" max="15" width="11.26953125" customWidth="1"/>
    <col min="16" max="16" width="11.54296875" customWidth="1"/>
    <col min="18" max="18" width="9.453125" bestFit="1" customWidth="1"/>
  </cols>
  <sheetData>
    <row r="1" spans="1:18" x14ac:dyDescent="0.35">
      <c r="A1" s="25" t="s">
        <v>17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8" s="1" customFormat="1" ht="29.5" thickBot="1" x14ac:dyDescent="0.4">
      <c r="A2" s="10" t="s">
        <v>15</v>
      </c>
      <c r="B2" s="11" t="s">
        <v>11</v>
      </c>
      <c r="C2" s="11" t="s">
        <v>9</v>
      </c>
      <c r="D2" s="11" t="s">
        <v>2</v>
      </c>
      <c r="E2" s="11" t="s">
        <v>6</v>
      </c>
      <c r="F2" s="11" t="s">
        <v>7</v>
      </c>
      <c r="G2" s="11" t="s">
        <v>12</v>
      </c>
      <c r="H2" s="11" t="s">
        <v>13</v>
      </c>
      <c r="I2" s="11" t="s">
        <v>8</v>
      </c>
      <c r="J2" s="11" t="s">
        <v>0</v>
      </c>
      <c r="K2" s="11" t="s">
        <v>1</v>
      </c>
      <c r="L2" s="11" t="s">
        <v>3</v>
      </c>
      <c r="M2" s="11" t="s">
        <v>4</v>
      </c>
      <c r="N2" s="11" t="s">
        <v>14</v>
      </c>
      <c r="O2" s="11" t="s">
        <v>5</v>
      </c>
      <c r="P2" s="15" t="s">
        <v>19</v>
      </c>
      <c r="Q2" s="1" t="s">
        <v>21</v>
      </c>
      <c r="R2" s="1" t="s">
        <v>20</v>
      </c>
    </row>
    <row r="3" spans="1:18" x14ac:dyDescent="0.35">
      <c r="A3" s="7" t="s">
        <v>16</v>
      </c>
      <c r="B3" s="8">
        <v>60</v>
      </c>
      <c r="C3" s="8" t="s">
        <v>10</v>
      </c>
      <c r="D3" s="8">
        <v>40</v>
      </c>
      <c r="E3" s="8">
        <v>0</v>
      </c>
      <c r="F3" s="8">
        <v>0</v>
      </c>
      <c r="G3" s="8">
        <v>0.35</v>
      </c>
      <c r="H3" s="8">
        <v>1.42</v>
      </c>
      <c r="I3" s="8">
        <v>0.75</v>
      </c>
      <c r="J3" s="8">
        <v>350.01</v>
      </c>
      <c r="K3" s="8">
        <v>303.77</v>
      </c>
      <c r="L3" s="8">
        <v>273.5</v>
      </c>
      <c r="M3" s="8">
        <v>274.57</v>
      </c>
      <c r="N3" s="8">
        <v>353.75</v>
      </c>
      <c r="O3" s="8">
        <v>1.1599999999999999</v>
      </c>
      <c r="P3" s="16">
        <f>(O6-O3)/O6*100</f>
        <v>-9.4339622641509298</v>
      </c>
      <c r="Q3">
        <f>3.14*0.002*(0.08*10)</f>
        <v>5.0240000000000007E-3</v>
      </c>
      <c r="R3" s="24">
        <f>D3/(Q3*(J3-K3))</f>
        <v>172.1838979128556</v>
      </c>
    </row>
    <row r="4" spans="1:18" x14ac:dyDescent="0.35">
      <c r="A4" s="9" t="s">
        <v>16</v>
      </c>
      <c r="B4" s="2">
        <v>60</v>
      </c>
      <c r="C4" s="2" t="s">
        <v>10</v>
      </c>
      <c r="D4" s="2">
        <v>40</v>
      </c>
      <c r="E4" s="2">
        <v>30</v>
      </c>
      <c r="F4" s="2">
        <v>0</v>
      </c>
      <c r="G4" s="2">
        <v>0.69</v>
      </c>
      <c r="H4" s="2">
        <v>1.31</v>
      </c>
      <c r="I4" s="2">
        <v>0.75</v>
      </c>
      <c r="J4" s="2">
        <v>350.05</v>
      </c>
      <c r="K4" s="2">
        <v>304.8</v>
      </c>
      <c r="L4" s="2">
        <v>273.83999999999997</v>
      </c>
      <c r="M4" s="2">
        <v>274.45999999999998</v>
      </c>
      <c r="N4" s="2">
        <v>0</v>
      </c>
      <c r="O4" s="2">
        <v>1.1299999999999999</v>
      </c>
      <c r="P4" s="17">
        <f>(O6-O4)/O6*100</f>
        <v>-6.6037735849056451</v>
      </c>
      <c r="Q4">
        <f t="shared" ref="Q4:Q22" si="0">3.14*0.002*(0.08*10)</f>
        <v>5.0240000000000007E-3</v>
      </c>
      <c r="R4" s="24">
        <f t="shared" ref="R4:R22" si="1">D4/(Q4*(J4-K4))</f>
        <v>175.95101523735789</v>
      </c>
    </row>
    <row r="5" spans="1:18" x14ac:dyDescent="0.35">
      <c r="A5" s="9" t="s">
        <v>16</v>
      </c>
      <c r="B5" s="2">
        <v>60</v>
      </c>
      <c r="C5" s="2" t="s">
        <v>10</v>
      </c>
      <c r="D5" s="2">
        <v>40</v>
      </c>
      <c r="E5" s="2">
        <v>60</v>
      </c>
      <c r="F5" s="2">
        <v>0</v>
      </c>
      <c r="G5" s="2">
        <v>0.33</v>
      </c>
      <c r="H5" s="2">
        <v>1.33</v>
      </c>
      <c r="I5" s="2">
        <v>0.71</v>
      </c>
      <c r="J5" s="2">
        <v>350.07</v>
      </c>
      <c r="K5" s="2">
        <v>304.72000000000003</v>
      </c>
      <c r="L5" s="2">
        <v>273.48</v>
      </c>
      <c r="M5" s="2">
        <v>274.48</v>
      </c>
      <c r="N5" s="2">
        <v>352.47</v>
      </c>
      <c r="O5" s="2">
        <v>1.1299999999999999</v>
      </c>
      <c r="P5" s="17">
        <f>(O6-O5)/O6*100</f>
        <v>-6.6037735849056451</v>
      </c>
      <c r="Q5">
        <f t="shared" si="0"/>
        <v>5.0240000000000007E-3</v>
      </c>
      <c r="R5" s="24">
        <f t="shared" si="1"/>
        <v>175.56303063926021</v>
      </c>
    </row>
    <row r="6" spans="1:18" ht="15" thickBot="1" x14ac:dyDescent="0.4">
      <c r="A6" s="10" t="s">
        <v>16</v>
      </c>
      <c r="B6" s="11">
        <v>60</v>
      </c>
      <c r="C6" s="11" t="s">
        <v>10</v>
      </c>
      <c r="D6" s="11">
        <v>40</v>
      </c>
      <c r="E6" s="11">
        <v>90</v>
      </c>
      <c r="F6" s="11">
        <v>0</v>
      </c>
      <c r="G6" s="11">
        <v>0.96</v>
      </c>
      <c r="H6" s="11">
        <v>2.87</v>
      </c>
      <c r="I6" s="11">
        <v>0.67</v>
      </c>
      <c r="J6" s="11">
        <v>350.01</v>
      </c>
      <c r="K6" s="11">
        <v>307.75</v>
      </c>
      <c r="L6" s="11">
        <v>274.11</v>
      </c>
      <c r="M6" s="11">
        <v>276.02</v>
      </c>
      <c r="N6" s="11">
        <v>322.31</v>
      </c>
      <c r="O6" s="11">
        <v>1.06</v>
      </c>
      <c r="P6" s="18">
        <f>(O6-O6)/O6*100</f>
        <v>0</v>
      </c>
      <c r="Q6">
        <f t="shared" si="0"/>
        <v>5.0240000000000007E-3</v>
      </c>
      <c r="R6" s="24">
        <f t="shared" si="1"/>
        <v>188.39998673664095</v>
      </c>
    </row>
    <row r="7" spans="1:18" x14ac:dyDescent="0.35">
      <c r="A7" s="7" t="s">
        <v>16</v>
      </c>
      <c r="B7" s="8">
        <v>60</v>
      </c>
      <c r="C7" s="8" t="s">
        <v>10</v>
      </c>
      <c r="D7" s="8">
        <v>60</v>
      </c>
      <c r="E7" s="8">
        <v>0</v>
      </c>
      <c r="F7" s="8">
        <v>0</v>
      </c>
      <c r="G7" s="8">
        <v>0.4</v>
      </c>
      <c r="H7" s="8">
        <v>1.41</v>
      </c>
      <c r="I7" s="8">
        <v>0.79</v>
      </c>
      <c r="J7" s="8">
        <v>349.95</v>
      </c>
      <c r="K7" s="8">
        <v>304.12</v>
      </c>
      <c r="L7" s="8">
        <v>273.55</v>
      </c>
      <c r="M7" s="8">
        <v>274.56</v>
      </c>
      <c r="N7" s="8">
        <v>352.85</v>
      </c>
      <c r="O7" s="8">
        <v>0.76</v>
      </c>
      <c r="P7" s="16">
        <f>(O10-O7)/O10*100</f>
        <v>-4.1095890410958944</v>
      </c>
      <c r="Q7">
        <f t="shared" si="0"/>
        <v>5.0240000000000007E-3</v>
      </c>
      <c r="R7" s="24">
        <f t="shared" si="1"/>
        <v>260.5864097585789</v>
      </c>
    </row>
    <row r="8" spans="1:18" x14ac:dyDescent="0.35">
      <c r="A8" s="9" t="s">
        <v>16</v>
      </c>
      <c r="B8" s="2">
        <v>60</v>
      </c>
      <c r="C8" s="2" t="s">
        <v>10</v>
      </c>
      <c r="D8" s="2">
        <v>60</v>
      </c>
      <c r="E8" s="2">
        <v>30</v>
      </c>
      <c r="F8" s="2">
        <v>0</v>
      </c>
      <c r="G8" s="2">
        <v>0.28000000000000003</v>
      </c>
      <c r="H8" s="2">
        <v>1.17</v>
      </c>
      <c r="I8" s="2">
        <v>0.71</v>
      </c>
      <c r="J8" s="2">
        <v>350.07</v>
      </c>
      <c r="K8" s="2">
        <v>304.89999999999998</v>
      </c>
      <c r="L8" s="2">
        <v>273.43</v>
      </c>
      <c r="M8" s="2">
        <v>274.32</v>
      </c>
      <c r="N8" s="2">
        <v>351.05</v>
      </c>
      <c r="O8" s="2">
        <v>0.75</v>
      </c>
      <c r="P8" s="17">
        <f>(O10-O8)/O10*100</f>
        <v>-2.7397260273972628</v>
      </c>
      <c r="Q8">
        <f t="shared" si="0"/>
        <v>5.0240000000000007E-3</v>
      </c>
      <c r="R8" s="24">
        <f t="shared" si="1"/>
        <v>264.39395969084927</v>
      </c>
    </row>
    <row r="9" spans="1:18" x14ac:dyDescent="0.35">
      <c r="A9" s="9" t="s">
        <v>16</v>
      </c>
      <c r="B9" s="2">
        <v>60</v>
      </c>
      <c r="C9" s="2" t="s">
        <v>10</v>
      </c>
      <c r="D9" s="2">
        <v>60</v>
      </c>
      <c r="E9" s="2">
        <v>60</v>
      </c>
      <c r="F9" s="2">
        <v>0</v>
      </c>
      <c r="G9" s="2">
        <v>0.75</v>
      </c>
      <c r="H9" s="2">
        <v>1.61</v>
      </c>
      <c r="I9" s="2">
        <v>0.71</v>
      </c>
      <c r="J9" s="2">
        <v>350.07</v>
      </c>
      <c r="K9" s="2">
        <v>303.7</v>
      </c>
      <c r="L9" s="2">
        <v>273.89999999999998</v>
      </c>
      <c r="M9" s="2">
        <v>274.76</v>
      </c>
      <c r="N9" s="2">
        <v>342.29</v>
      </c>
      <c r="O9" s="2">
        <v>0.77</v>
      </c>
      <c r="P9" s="17">
        <f>(O10-O9)/O10*100</f>
        <v>-5.4794520547945256</v>
      </c>
      <c r="Q9">
        <f t="shared" si="0"/>
        <v>5.0240000000000007E-3</v>
      </c>
      <c r="R9" s="24">
        <f t="shared" si="1"/>
        <v>257.55176103592117</v>
      </c>
    </row>
    <row r="10" spans="1:18" ht="15" thickBot="1" x14ac:dyDescent="0.4">
      <c r="A10" s="10" t="s">
        <v>16</v>
      </c>
      <c r="B10" s="11">
        <v>60</v>
      </c>
      <c r="C10" s="11" t="s">
        <v>10</v>
      </c>
      <c r="D10" s="11">
        <v>60</v>
      </c>
      <c r="E10" s="11">
        <v>90</v>
      </c>
      <c r="F10" s="11">
        <v>0</v>
      </c>
      <c r="G10" s="11">
        <v>0.43</v>
      </c>
      <c r="H10" s="11">
        <v>1.32</v>
      </c>
      <c r="I10" s="11">
        <v>0.98</v>
      </c>
      <c r="J10" s="11">
        <v>350.01</v>
      </c>
      <c r="K10" s="11">
        <v>306.39999999999998</v>
      </c>
      <c r="L10" s="11">
        <v>273.58</v>
      </c>
      <c r="M10" s="11">
        <v>274.47000000000003</v>
      </c>
      <c r="N10" s="11">
        <v>0</v>
      </c>
      <c r="O10" s="11">
        <v>0.73</v>
      </c>
      <c r="P10" s="18">
        <f>(O10-O10)/O10*100</f>
        <v>0</v>
      </c>
      <c r="Q10">
        <f t="shared" si="0"/>
        <v>5.0240000000000007E-3</v>
      </c>
      <c r="R10" s="24">
        <f t="shared" si="1"/>
        <v>273.85175783617666</v>
      </c>
    </row>
    <row r="11" spans="1:18" x14ac:dyDescent="0.35">
      <c r="A11" s="7" t="s">
        <v>16</v>
      </c>
      <c r="B11" s="8">
        <v>60</v>
      </c>
      <c r="C11" s="8" t="s">
        <v>10</v>
      </c>
      <c r="D11" s="13">
        <v>80</v>
      </c>
      <c r="E11" s="8">
        <v>0</v>
      </c>
      <c r="F11" s="8">
        <v>0</v>
      </c>
      <c r="G11" s="8">
        <v>0.55000000000000004</v>
      </c>
      <c r="H11" s="8">
        <v>1.22</v>
      </c>
      <c r="I11" s="8">
        <v>0.69</v>
      </c>
      <c r="J11" s="8">
        <v>349.95</v>
      </c>
      <c r="K11" s="8">
        <v>303.17</v>
      </c>
      <c r="L11" s="8">
        <v>273.7</v>
      </c>
      <c r="M11" s="8">
        <v>274.37</v>
      </c>
      <c r="N11" s="8">
        <v>327.27</v>
      </c>
      <c r="O11" s="8">
        <v>0.57999999999999996</v>
      </c>
      <c r="P11" s="16">
        <f>(O14-O11)/O14*100</f>
        <v>3.3333333333333366</v>
      </c>
      <c r="Q11">
        <f t="shared" si="0"/>
        <v>5.0240000000000007E-3</v>
      </c>
      <c r="R11" s="24">
        <f t="shared" si="1"/>
        <v>340.39262246645785</v>
      </c>
    </row>
    <row r="12" spans="1:18" x14ac:dyDescent="0.35">
      <c r="A12" s="9" t="s">
        <v>16</v>
      </c>
      <c r="B12" s="2">
        <v>60</v>
      </c>
      <c r="C12" s="2" t="s">
        <v>10</v>
      </c>
      <c r="D12" s="4">
        <v>80</v>
      </c>
      <c r="E12" s="2">
        <v>30</v>
      </c>
      <c r="F12" s="2">
        <v>0</v>
      </c>
      <c r="G12" s="2">
        <v>1.23</v>
      </c>
      <c r="H12" s="2">
        <v>7.26</v>
      </c>
      <c r="I12" s="2">
        <v>0.73</v>
      </c>
      <c r="J12" s="2">
        <v>349.97</v>
      </c>
      <c r="K12" s="2">
        <v>309.52</v>
      </c>
      <c r="L12" s="2">
        <v>274.38</v>
      </c>
      <c r="M12" s="2">
        <v>280.41000000000003</v>
      </c>
      <c r="N12" s="2">
        <v>335.47</v>
      </c>
      <c r="O12" s="2">
        <v>0.51</v>
      </c>
      <c r="P12" s="17">
        <f>(O14-O12)/O14*100</f>
        <v>14.999999999999996</v>
      </c>
      <c r="Q12">
        <f t="shared" si="0"/>
        <v>5.0240000000000007E-3</v>
      </c>
      <c r="R12" s="24">
        <f t="shared" si="1"/>
        <v>393.66049144575703</v>
      </c>
    </row>
    <row r="13" spans="1:18" x14ac:dyDescent="0.35">
      <c r="A13" s="9" t="s">
        <v>16</v>
      </c>
      <c r="B13" s="2">
        <v>60</v>
      </c>
      <c r="C13" s="2" t="s">
        <v>10</v>
      </c>
      <c r="D13" s="4">
        <v>80</v>
      </c>
      <c r="E13" s="2">
        <v>60</v>
      </c>
      <c r="F13" s="2">
        <v>0</v>
      </c>
      <c r="G13" s="2">
        <v>0.47</v>
      </c>
      <c r="H13" s="2">
        <v>1.23</v>
      </c>
      <c r="I13" s="2">
        <v>0.8</v>
      </c>
      <c r="J13" s="2">
        <v>350.13</v>
      </c>
      <c r="K13" s="2">
        <v>305.47000000000003</v>
      </c>
      <c r="L13" s="2">
        <v>273.62</v>
      </c>
      <c r="M13" s="2">
        <v>274.38</v>
      </c>
      <c r="N13" s="2">
        <v>371.51</v>
      </c>
      <c r="O13" s="2">
        <v>0.56000000000000005</v>
      </c>
      <c r="P13" s="17">
        <f>(O14-O13)/O14*100</f>
        <v>6.6666666666666536</v>
      </c>
      <c r="Q13">
        <f t="shared" si="0"/>
        <v>5.0240000000000007E-3</v>
      </c>
      <c r="R13" s="24">
        <f t="shared" si="1"/>
        <v>356.55098251188758</v>
      </c>
    </row>
    <row r="14" spans="1:18" ht="15" thickBot="1" x14ac:dyDescent="0.4">
      <c r="A14" s="10" t="s">
        <v>16</v>
      </c>
      <c r="B14" s="11">
        <v>60</v>
      </c>
      <c r="C14" s="11" t="s">
        <v>10</v>
      </c>
      <c r="D14" s="14">
        <v>80</v>
      </c>
      <c r="E14" s="11">
        <v>90</v>
      </c>
      <c r="F14" s="11">
        <v>0</v>
      </c>
      <c r="G14" s="11">
        <v>0.46</v>
      </c>
      <c r="H14" s="11">
        <v>1.39</v>
      </c>
      <c r="I14" s="11">
        <v>0.75</v>
      </c>
      <c r="J14" s="11">
        <v>349.91</v>
      </c>
      <c r="K14" s="11">
        <v>302.3</v>
      </c>
      <c r="L14" s="11">
        <v>273.61</v>
      </c>
      <c r="M14" s="11">
        <v>274.54000000000002</v>
      </c>
      <c r="N14" s="11">
        <v>314.55</v>
      </c>
      <c r="O14" s="11">
        <v>0.6</v>
      </c>
      <c r="P14" s="18">
        <f>(O14-O14)/O14*100</f>
        <v>0</v>
      </c>
      <c r="Q14">
        <f t="shared" si="0"/>
        <v>5.0240000000000007E-3</v>
      </c>
      <c r="R14" s="24">
        <f t="shared" si="1"/>
        <v>334.45845156439583</v>
      </c>
    </row>
    <row r="15" spans="1:18" x14ac:dyDescent="0.35">
      <c r="A15" s="7" t="s">
        <v>16</v>
      </c>
      <c r="B15" s="8">
        <v>60</v>
      </c>
      <c r="C15" s="8" t="s">
        <v>10</v>
      </c>
      <c r="D15" s="13">
        <v>100</v>
      </c>
      <c r="E15" s="8">
        <v>0</v>
      </c>
      <c r="F15" s="8">
        <v>0</v>
      </c>
      <c r="G15" s="8">
        <v>0.4</v>
      </c>
      <c r="H15" s="8">
        <v>1.18</v>
      </c>
      <c r="I15" s="8">
        <v>0.53</v>
      </c>
      <c r="J15" s="8">
        <v>349.99</v>
      </c>
      <c r="K15" s="8">
        <v>302.27</v>
      </c>
      <c r="L15" s="8">
        <v>273.55</v>
      </c>
      <c r="M15" s="8">
        <v>274.33</v>
      </c>
      <c r="N15" s="8">
        <v>363.55</v>
      </c>
      <c r="O15" s="8">
        <v>0.48</v>
      </c>
      <c r="P15" s="16">
        <f>(O18-O15)/O18*100</f>
        <v>-6.6666666666666599</v>
      </c>
      <c r="Q15">
        <f t="shared" si="0"/>
        <v>5.0240000000000007E-3</v>
      </c>
      <c r="R15" s="24">
        <f t="shared" si="1"/>
        <v>417.10935873273473</v>
      </c>
    </row>
    <row r="16" spans="1:18" x14ac:dyDescent="0.35">
      <c r="A16" s="9" t="s">
        <v>16</v>
      </c>
      <c r="B16" s="2">
        <v>60</v>
      </c>
      <c r="C16" s="2" t="s">
        <v>10</v>
      </c>
      <c r="D16" s="4">
        <v>100</v>
      </c>
      <c r="E16" s="2">
        <v>30</v>
      </c>
      <c r="F16" s="2">
        <v>0</v>
      </c>
      <c r="G16" s="2">
        <v>2.68</v>
      </c>
      <c r="H16" s="2">
        <v>5.83</v>
      </c>
      <c r="I16" s="2">
        <v>0.47</v>
      </c>
      <c r="J16" s="2">
        <v>349.93</v>
      </c>
      <c r="K16" s="2">
        <v>308.5</v>
      </c>
      <c r="L16" s="2">
        <v>275.83</v>
      </c>
      <c r="M16" s="2">
        <v>278.98</v>
      </c>
      <c r="N16" s="2">
        <v>338.17</v>
      </c>
      <c r="O16" s="2">
        <v>0.41</v>
      </c>
      <c r="P16" s="17">
        <f>(O18-O16)/O18*100</f>
        <v>8.8888888888888964</v>
      </c>
      <c r="Q16">
        <f t="shared" si="0"/>
        <v>5.0240000000000007E-3</v>
      </c>
      <c r="R16" s="24">
        <f t="shared" si="1"/>
        <v>480.43588218021023</v>
      </c>
    </row>
    <row r="17" spans="1:18" x14ac:dyDescent="0.35">
      <c r="A17" s="9" t="s">
        <v>16</v>
      </c>
      <c r="B17" s="2">
        <v>60</v>
      </c>
      <c r="C17" s="2" t="s">
        <v>10</v>
      </c>
      <c r="D17" s="4">
        <v>100</v>
      </c>
      <c r="E17" s="2">
        <v>60</v>
      </c>
      <c r="F17" s="2">
        <v>0</v>
      </c>
      <c r="G17" s="2">
        <v>0.51</v>
      </c>
      <c r="H17" s="2">
        <v>1.34</v>
      </c>
      <c r="I17" s="2">
        <v>0.74</v>
      </c>
      <c r="J17" s="2">
        <v>349.91</v>
      </c>
      <c r="K17" s="2">
        <v>305.25</v>
      </c>
      <c r="L17" s="2">
        <v>273.66000000000003</v>
      </c>
      <c r="M17" s="2">
        <v>274.49</v>
      </c>
      <c r="N17" s="2">
        <v>362.37</v>
      </c>
      <c r="O17" s="2">
        <v>0.45</v>
      </c>
      <c r="P17" s="17">
        <f>(O18-O17)/O18*100</f>
        <v>0</v>
      </c>
      <c r="Q17">
        <f t="shared" si="0"/>
        <v>5.0240000000000007E-3</v>
      </c>
      <c r="R17" s="24">
        <f t="shared" si="1"/>
        <v>445.68872813985894</v>
      </c>
    </row>
    <row r="18" spans="1:18" ht="15" thickBot="1" x14ac:dyDescent="0.4">
      <c r="A18" s="10" t="s">
        <v>16</v>
      </c>
      <c r="B18" s="11">
        <v>60</v>
      </c>
      <c r="C18" s="11" t="s">
        <v>10</v>
      </c>
      <c r="D18" s="14">
        <v>100</v>
      </c>
      <c r="E18" s="11">
        <v>90</v>
      </c>
      <c r="F18" s="11">
        <v>0</v>
      </c>
      <c r="G18" s="11">
        <v>1.32</v>
      </c>
      <c r="H18" s="11">
        <v>1.69</v>
      </c>
      <c r="I18" s="11">
        <v>0.68</v>
      </c>
      <c r="J18" s="11">
        <v>350.07</v>
      </c>
      <c r="K18" s="11">
        <v>304.62</v>
      </c>
      <c r="L18" s="11">
        <v>274.47000000000003</v>
      </c>
      <c r="M18" s="11">
        <v>274.83999999999997</v>
      </c>
      <c r="N18" s="11">
        <v>371.29</v>
      </c>
      <c r="O18" s="11">
        <v>0.45</v>
      </c>
      <c r="P18" s="18">
        <f>(O18-O18)/O18*100</f>
        <v>0</v>
      </c>
      <c r="Q18">
        <f t="shared" si="0"/>
        <v>5.0240000000000007E-3</v>
      </c>
      <c r="R18" s="24">
        <f t="shared" si="1"/>
        <v>437.94188336031061</v>
      </c>
    </row>
    <row r="19" spans="1:18" x14ac:dyDescent="0.35">
      <c r="A19" s="7" t="s">
        <v>16</v>
      </c>
      <c r="B19" s="8">
        <v>60</v>
      </c>
      <c r="C19" s="8" t="s">
        <v>10</v>
      </c>
      <c r="D19" s="13">
        <v>120</v>
      </c>
      <c r="E19" s="8">
        <v>0</v>
      </c>
      <c r="F19" s="8">
        <v>0</v>
      </c>
      <c r="G19" s="8">
        <v>0.99</v>
      </c>
      <c r="H19" s="8">
        <v>0.99</v>
      </c>
      <c r="I19" s="8">
        <v>0.92</v>
      </c>
      <c r="J19" s="8">
        <v>350.03</v>
      </c>
      <c r="K19" s="8">
        <v>301.52</v>
      </c>
      <c r="L19" s="8">
        <v>274.14</v>
      </c>
      <c r="M19" s="8">
        <v>274.14</v>
      </c>
      <c r="N19" s="8">
        <v>359.27</v>
      </c>
      <c r="O19" s="8">
        <v>0.4</v>
      </c>
      <c r="P19" s="16">
        <f>(O22-O19)/O22*100</f>
        <v>-5.2631578947368469</v>
      </c>
      <c r="Q19">
        <f t="shared" si="0"/>
        <v>5.0240000000000007E-3</v>
      </c>
      <c r="R19" s="24">
        <f t="shared" si="1"/>
        <v>492.37992823070164</v>
      </c>
    </row>
    <row r="20" spans="1:18" x14ac:dyDescent="0.35">
      <c r="A20" s="9" t="s">
        <v>16</v>
      </c>
      <c r="B20" s="2">
        <v>60</v>
      </c>
      <c r="C20" s="2" t="s">
        <v>10</v>
      </c>
      <c r="D20" s="4">
        <v>120</v>
      </c>
      <c r="E20" s="2">
        <v>30</v>
      </c>
      <c r="F20" s="2">
        <v>0</v>
      </c>
      <c r="G20" s="3">
        <v>2.58</v>
      </c>
      <c r="H20" s="3">
        <v>6.84</v>
      </c>
      <c r="I20" s="3">
        <v>0.73</v>
      </c>
      <c r="J20" s="3">
        <v>349.89</v>
      </c>
      <c r="K20" s="3">
        <v>308.89999999999998</v>
      </c>
      <c r="L20" s="3">
        <v>275.73</v>
      </c>
      <c r="M20" s="3">
        <v>279.99</v>
      </c>
      <c r="N20" s="3">
        <v>0</v>
      </c>
      <c r="O20" s="3">
        <v>0.34</v>
      </c>
      <c r="P20" s="17">
        <f>(O22-O20)/O22*100</f>
        <v>10.52631578947368</v>
      </c>
      <c r="Q20">
        <f t="shared" si="0"/>
        <v>5.0240000000000007E-3</v>
      </c>
      <c r="R20" s="24">
        <f t="shared" si="1"/>
        <v>582.71164475411877</v>
      </c>
    </row>
    <row r="21" spans="1:18" x14ac:dyDescent="0.35">
      <c r="A21" s="9" t="s">
        <v>16</v>
      </c>
      <c r="B21" s="2">
        <v>60</v>
      </c>
      <c r="C21" s="2" t="s">
        <v>10</v>
      </c>
      <c r="D21" s="4">
        <v>120</v>
      </c>
      <c r="E21" s="2">
        <v>60</v>
      </c>
      <c r="F21" s="2">
        <v>0</v>
      </c>
      <c r="G21" s="2">
        <v>0.88</v>
      </c>
      <c r="H21" s="2">
        <v>1.0900000000000001</v>
      </c>
      <c r="I21" s="2">
        <v>0.86</v>
      </c>
      <c r="J21" s="2">
        <v>349.93</v>
      </c>
      <c r="K21" s="2">
        <v>305.17</v>
      </c>
      <c r="L21" s="2">
        <v>274.02999999999997</v>
      </c>
      <c r="M21" s="2">
        <v>274.24</v>
      </c>
      <c r="N21" s="2">
        <v>333.65</v>
      </c>
      <c r="O21" s="2">
        <v>0.37</v>
      </c>
      <c r="P21" s="17">
        <f>(O22-O21)/O22*100</f>
        <v>2.6315789473684235</v>
      </c>
      <c r="Q21">
        <f t="shared" si="0"/>
        <v>5.0240000000000007E-3</v>
      </c>
      <c r="R21" s="24">
        <f t="shared" si="1"/>
        <v>533.6315978210755</v>
      </c>
    </row>
    <row r="22" spans="1:18" ht="15" thickBot="1" x14ac:dyDescent="0.4">
      <c r="A22" s="10" t="s">
        <v>16</v>
      </c>
      <c r="B22" s="11">
        <v>60</v>
      </c>
      <c r="C22" s="11" t="s">
        <v>10</v>
      </c>
      <c r="D22" s="14">
        <v>120</v>
      </c>
      <c r="E22" s="11">
        <v>90</v>
      </c>
      <c r="F22" s="11">
        <v>0</v>
      </c>
      <c r="G22" s="11">
        <v>0.6</v>
      </c>
      <c r="H22" s="11">
        <v>1.31</v>
      </c>
      <c r="I22" s="11">
        <v>0.75</v>
      </c>
      <c r="J22" s="11">
        <v>350.15</v>
      </c>
      <c r="K22" s="11">
        <v>304.3</v>
      </c>
      <c r="L22" s="11">
        <v>273.75</v>
      </c>
      <c r="M22" s="11">
        <v>274.45999999999998</v>
      </c>
      <c r="N22" s="11">
        <v>0</v>
      </c>
      <c r="O22" s="11">
        <v>0.38</v>
      </c>
      <c r="P22" s="18">
        <f>(O22-O22)/O22*100</f>
        <v>0</v>
      </c>
      <c r="Q22">
        <f t="shared" si="0"/>
        <v>5.0240000000000007E-3</v>
      </c>
      <c r="R22" s="24">
        <f t="shared" si="1"/>
        <v>520.9454813188953</v>
      </c>
    </row>
  </sheetData>
  <autoFilter ref="A2:R2" xr:uid="{99CE67D1-7F15-4E9A-A46E-D4F632903583}"/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A0C8-088B-4E9E-AFF2-FA2A63CF65B1}">
  <dimension ref="A1:R22"/>
  <sheetViews>
    <sheetView topLeftCell="A4" zoomScale="90" zoomScaleNormal="90" workbookViewId="0">
      <selection activeCell="M25" sqref="M25"/>
    </sheetView>
  </sheetViews>
  <sheetFormatPr defaultRowHeight="14.5" x14ac:dyDescent="0.35"/>
  <cols>
    <col min="3" max="3" width="11.26953125" customWidth="1"/>
    <col min="4" max="6" width="7.81640625" customWidth="1"/>
    <col min="7" max="15" width="11.26953125" customWidth="1"/>
    <col min="16" max="16" width="10.90625" customWidth="1"/>
    <col min="18" max="18" width="9.453125" bestFit="1" customWidth="1"/>
  </cols>
  <sheetData>
    <row r="1" spans="1:18" x14ac:dyDescent="0.35">
      <c r="A1" s="28" t="s">
        <v>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19"/>
    </row>
    <row r="2" spans="1:18" s="1" customFormat="1" ht="29.5" thickBot="1" x14ac:dyDescent="0.4">
      <c r="A2" s="10" t="s">
        <v>15</v>
      </c>
      <c r="B2" s="11" t="s">
        <v>11</v>
      </c>
      <c r="C2" s="11" t="s">
        <v>9</v>
      </c>
      <c r="D2" s="11" t="s">
        <v>2</v>
      </c>
      <c r="E2" s="11" t="s">
        <v>6</v>
      </c>
      <c r="F2" s="11" t="s">
        <v>7</v>
      </c>
      <c r="G2" s="11" t="s">
        <v>12</v>
      </c>
      <c r="H2" s="11" t="s">
        <v>13</v>
      </c>
      <c r="I2" s="11" t="s">
        <v>8</v>
      </c>
      <c r="J2" s="11" t="s">
        <v>0</v>
      </c>
      <c r="K2" s="11" t="s">
        <v>1</v>
      </c>
      <c r="L2" s="11" t="s">
        <v>3</v>
      </c>
      <c r="M2" s="11" t="s">
        <v>4</v>
      </c>
      <c r="N2" s="11" t="s">
        <v>14</v>
      </c>
      <c r="O2" s="11" t="s">
        <v>5</v>
      </c>
      <c r="P2" s="15" t="s">
        <v>19</v>
      </c>
      <c r="Q2" s="1" t="s">
        <v>21</v>
      </c>
      <c r="R2" s="1" t="s">
        <v>20</v>
      </c>
    </row>
    <row r="3" spans="1:18" x14ac:dyDescent="0.35">
      <c r="A3" s="7" t="s">
        <v>16</v>
      </c>
      <c r="B3" s="8">
        <v>60</v>
      </c>
      <c r="C3" s="8" t="s">
        <v>10</v>
      </c>
      <c r="D3" s="8">
        <v>40</v>
      </c>
      <c r="E3" s="8">
        <v>0</v>
      </c>
      <c r="F3" s="8">
        <v>0</v>
      </c>
      <c r="G3" s="8">
        <v>0.39</v>
      </c>
      <c r="H3" s="8">
        <v>1.36</v>
      </c>
      <c r="I3" s="20">
        <v>0.79</v>
      </c>
      <c r="J3" s="8">
        <v>355.55</v>
      </c>
      <c r="K3" s="8">
        <v>303.67</v>
      </c>
      <c r="L3" s="8">
        <v>273.54000000000002</v>
      </c>
      <c r="M3" s="8">
        <v>274.51</v>
      </c>
      <c r="N3" s="8">
        <v>353.75</v>
      </c>
      <c r="O3" s="8">
        <v>1.3</v>
      </c>
      <c r="P3" s="16">
        <f>(O6-O3)/O6*100</f>
        <v>-30.000000000000004</v>
      </c>
      <c r="Q3">
        <f>3.14*0.002*(0.08*10)</f>
        <v>5.0240000000000007E-3</v>
      </c>
      <c r="R3" s="24">
        <f>D3/(Q3*(J3-K3))</f>
        <v>153.46537084599933</v>
      </c>
    </row>
    <row r="4" spans="1:18" x14ac:dyDescent="0.35">
      <c r="A4" s="9" t="s">
        <v>16</v>
      </c>
      <c r="B4" s="2">
        <v>60</v>
      </c>
      <c r="C4" s="2" t="s">
        <v>10</v>
      </c>
      <c r="D4" s="2">
        <v>40</v>
      </c>
      <c r="E4" s="2">
        <v>30</v>
      </c>
      <c r="F4" s="2">
        <v>0</v>
      </c>
      <c r="G4" s="2">
        <v>0.54</v>
      </c>
      <c r="H4" s="2">
        <v>1.26</v>
      </c>
      <c r="I4" s="5">
        <v>0.82</v>
      </c>
      <c r="J4" s="2">
        <v>357.47</v>
      </c>
      <c r="K4" s="2">
        <v>304.92</v>
      </c>
      <c r="L4" s="2">
        <v>273.69</v>
      </c>
      <c r="M4" s="2">
        <v>274.41000000000003</v>
      </c>
      <c r="N4" s="2">
        <v>0</v>
      </c>
      <c r="O4" s="2">
        <v>1.31</v>
      </c>
      <c r="P4" s="17">
        <f>(O6-O4)/O6*100</f>
        <v>-31.000000000000007</v>
      </c>
      <c r="Q4">
        <f t="shared" ref="Q4:Q22" si="0">3.14*0.002*(0.08*10)</f>
        <v>5.0240000000000007E-3</v>
      </c>
      <c r="R4" s="24">
        <f t="shared" ref="R4:R22" si="1">D4/(Q4*(J4-K4))</f>
        <v>151.5087238723205</v>
      </c>
    </row>
    <row r="5" spans="1:18" x14ac:dyDescent="0.35">
      <c r="A5" s="9" t="s">
        <v>16</v>
      </c>
      <c r="B5" s="2">
        <v>60</v>
      </c>
      <c r="C5" s="2" t="s">
        <v>10</v>
      </c>
      <c r="D5" s="2">
        <v>40</v>
      </c>
      <c r="E5" s="2">
        <v>60</v>
      </c>
      <c r="F5" s="2">
        <v>0</v>
      </c>
      <c r="G5" s="2">
        <v>0.57999999999999996</v>
      </c>
      <c r="H5" s="2">
        <v>2.33</v>
      </c>
      <c r="I5" s="5">
        <v>0.82</v>
      </c>
      <c r="J5" s="2">
        <v>352.91</v>
      </c>
      <c r="K5" s="2">
        <v>305.72000000000003</v>
      </c>
      <c r="L5" s="2">
        <v>273.73</v>
      </c>
      <c r="M5" s="2">
        <v>275.48</v>
      </c>
      <c r="N5" s="2">
        <v>352.47</v>
      </c>
      <c r="O5" s="2">
        <v>1.18</v>
      </c>
      <c r="P5" s="17">
        <f>(O6-O5)/O6*100</f>
        <v>-17.999999999999993</v>
      </c>
      <c r="Q5">
        <f t="shared" si="0"/>
        <v>5.0240000000000007E-3</v>
      </c>
      <c r="R5" s="24">
        <f t="shared" si="1"/>
        <v>168.7175977853453</v>
      </c>
    </row>
    <row r="6" spans="1:18" ht="15" thickBot="1" x14ac:dyDescent="0.4">
      <c r="A6" s="10" t="s">
        <v>16</v>
      </c>
      <c r="B6" s="11">
        <v>60</v>
      </c>
      <c r="C6" s="11" t="s">
        <v>10</v>
      </c>
      <c r="D6" s="11">
        <v>40</v>
      </c>
      <c r="E6" s="11">
        <v>90</v>
      </c>
      <c r="F6" s="11">
        <v>0</v>
      </c>
      <c r="G6" s="11">
        <v>0.91</v>
      </c>
      <c r="H6" s="11">
        <v>7.14</v>
      </c>
      <c r="I6" s="21">
        <v>0.76</v>
      </c>
      <c r="J6" s="11">
        <v>352.17</v>
      </c>
      <c r="K6" s="11">
        <v>312.32</v>
      </c>
      <c r="L6" s="11">
        <v>274.06</v>
      </c>
      <c r="M6" s="11">
        <v>280.29000000000002</v>
      </c>
      <c r="N6" s="11">
        <v>322.31</v>
      </c>
      <c r="O6" s="11">
        <v>1</v>
      </c>
      <c r="P6" s="18">
        <f>(O6-O6)/O6*100</f>
        <v>0</v>
      </c>
      <c r="Q6">
        <f t="shared" si="0"/>
        <v>5.0240000000000007E-3</v>
      </c>
      <c r="R6" s="24">
        <f t="shared" si="1"/>
        <v>199.79381278520552</v>
      </c>
    </row>
    <row r="7" spans="1:18" x14ac:dyDescent="0.35">
      <c r="A7" s="7" t="s">
        <v>16</v>
      </c>
      <c r="B7" s="8">
        <v>60</v>
      </c>
      <c r="C7" s="8" t="s">
        <v>10</v>
      </c>
      <c r="D7" s="8">
        <v>60</v>
      </c>
      <c r="E7" s="8">
        <v>0</v>
      </c>
      <c r="F7" s="8">
        <v>0</v>
      </c>
      <c r="G7" s="8">
        <v>0.53</v>
      </c>
      <c r="H7" s="8">
        <v>4.49</v>
      </c>
      <c r="I7" s="8">
        <v>1</v>
      </c>
      <c r="J7" s="8">
        <v>362.97</v>
      </c>
      <c r="K7" s="8">
        <v>308.62</v>
      </c>
      <c r="L7" s="8">
        <v>273.68</v>
      </c>
      <c r="M7" s="8">
        <v>277.64</v>
      </c>
      <c r="N7" s="8">
        <v>352.85</v>
      </c>
      <c r="O7" s="8">
        <v>0.91</v>
      </c>
      <c r="P7" s="16">
        <f>(O10-O7)/O10*100</f>
        <v>-21.333333333333336</v>
      </c>
      <c r="Q7">
        <f t="shared" si="0"/>
        <v>5.0240000000000007E-3</v>
      </c>
      <c r="R7" s="24">
        <f t="shared" si="1"/>
        <v>219.7364334725973</v>
      </c>
    </row>
    <row r="8" spans="1:18" x14ac:dyDescent="0.35">
      <c r="A8" s="9" t="s">
        <v>16</v>
      </c>
      <c r="B8" s="2">
        <v>60</v>
      </c>
      <c r="C8" s="2" t="s">
        <v>10</v>
      </c>
      <c r="D8" s="2">
        <v>60</v>
      </c>
      <c r="E8" s="2">
        <v>30</v>
      </c>
      <c r="F8" s="2">
        <v>0</v>
      </c>
      <c r="G8" s="2">
        <v>1.43</v>
      </c>
      <c r="H8" s="2">
        <v>3.37</v>
      </c>
      <c r="I8" s="2">
        <v>1</v>
      </c>
      <c r="J8" s="2">
        <v>363.01</v>
      </c>
      <c r="K8" s="2">
        <v>308.38</v>
      </c>
      <c r="L8" s="2">
        <v>274.58</v>
      </c>
      <c r="M8" s="2">
        <v>276.52</v>
      </c>
      <c r="N8" s="2">
        <v>351.05</v>
      </c>
      <c r="O8" s="2">
        <v>0.91</v>
      </c>
      <c r="P8" s="17">
        <f>(O10-O8)/O10*100</f>
        <v>-21.333333333333336</v>
      </c>
      <c r="Q8">
        <f t="shared" si="0"/>
        <v>5.0240000000000007E-3</v>
      </c>
      <c r="R8" s="24">
        <f t="shared" si="1"/>
        <v>218.61019877788155</v>
      </c>
    </row>
    <row r="9" spans="1:18" x14ac:dyDescent="0.35">
      <c r="A9" s="9" t="s">
        <v>16</v>
      </c>
      <c r="B9" s="2">
        <v>60</v>
      </c>
      <c r="C9" s="2" t="s">
        <v>10</v>
      </c>
      <c r="D9" s="2">
        <v>60</v>
      </c>
      <c r="E9" s="2">
        <v>60</v>
      </c>
      <c r="F9" s="2">
        <v>0</v>
      </c>
      <c r="G9" s="2">
        <v>0.82</v>
      </c>
      <c r="H9" s="2">
        <v>8.7799999999999994</v>
      </c>
      <c r="I9" s="2">
        <v>1</v>
      </c>
      <c r="J9" s="2">
        <v>356.03</v>
      </c>
      <c r="K9" s="2">
        <v>321.27</v>
      </c>
      <c r="L9" s="2">
        <v>273.97000000000003</v>
      </c>
      <c r="M9" s="2">
        <v>281.93</v>
      </c>
      <c r="N9" s="2">
        <v>342.29</v>
      </c>
      <c r="O9" s="2">
        <v>0.57999999999999996</v>
      </c>
      <c r="P9" s="17">
        <f>(O10-O9)/O10*100</f>
        <v>22.666666666666671</v>
      </c>
      <c r="Q9">
        <f t="shared" si="0"/>
        <v>5.0240000000000007E-3</v>
      </c>
      <c r="R9" s="24">
        <f t="shared" si="1"/>
        <v>343.57523473060041</v>
      </c>
    </row>
    <row r="10" spans="1:18" ht="15" thickBot="1" x14ac:dyDescent="0.4">
      <c r="A10" s="10" t="s">
        <v>16</v>
      </c>
      <c r="B10" s="11">
        <v>60</v>
      </c>
      <c r="C10" s="11" t="s">
        <v>10</v>
      </c>
      <c r="D10" s="11">
        <v>60</v>
      </c>
      <c r="E10" s="11">
        <v>90</v>
      </c>
      <c r="F10" s="11">
        <v>0</v>
      </c>
      <c r="G10" s="11">
        <v>0.43</v>
      </c>
      <c r="H10" s="11">
        <v>1.32</v>
      </c>
      <c r="I10" s="11">
        <v>1</v>
      </c>
      <c r="J10" s="11">
        <v>351.21</v>
      </c>
      <c r="K10" s="11">
        <v>306.39999999999998</v>
      </c>
      <c r="L10" s="11">
        <v>273.58</v>
      </c>
      <c r="M10" s="11">
        <v>274.47000000000003</v>
      </c>
      <c r="N10" s="11">
        <v>0</v>
      </c>
      <c r="O10" s="11">
        <v>0.75</v>
      </c>
      <c r="P10" s="18">
        <f>(O10-O10)/O10*100</f>
        <v>0</v>
      </c>
      <c r="Q10">
        <f t="shared" si="0"/>
        <v>5.0240000000000007E-3</v>
      </c>
      <c r="R10" s="24">
        <f t="shared" si="1"/>
        <v>266.51807987582384</v>
      </c>
    </row>
    <row r="11" spans="1:18" x14ac:dyDescent="0.35">
      <c r="A11" s="7" t="s">
        <v>16</v>
      </c>
      <c r="B11" s="8">
        <v>60</v>
      </c>
      <c r="C11" s="8" t="s">
        <v>10</v>
      </c>
      <c r="D11" s="13">
        <v>80</v>
      </c>
      <c r="E11" s="8">
        <v>0</v>
      </c>
      <c r="F11" s="8">
        <v>0</v>
      </c>
      <c r="G11" s="8">
        <v>0.51</v>
      </c>
      <c r="H11" s="8">
        <v>1.22</v>
      </c>
      <c r="I11" s="20">
        <v>0.76</v>
      </c>
      <c r="J11" s="8">
        <v>363.97</v>
      </c>
      <c r="K11" s="8">
        <v>303.38</v>
      </c>
      <c r="L11" s="8">
        <v>273.66000000000003</v>
      </c>
      <c r="M11" s="8">
        <v>274.37</v>
      </c>
      <c r="N11" s="8">
        <v>327.27</v>
      </c>
      <c r="O11" s="8">
        <v>0.76</v>
      </c>
      <c r="P11" s="16">
        <f>(O14-O11)/O14*100</f>
        <v>-52</v>
      </c>
      <c r="Q11">
        <f t="shared" si="0"/>
        <v>5.0240000000000007E-3</v>
      </c>
      <c r="R11" s="24">
        <f t="shared" si="1"/>
        <v>262.80849775508966</v>
      </c>
    </row>
    <row r="12" spans="1:18" x14ac:dyDescent="0.35">
      <c r="A12" s="9" t="s">
        <v>16</v>
      </c>
      <c r="B12" s="2">
        <v>60</v>
      </c>
      <c r="C12" s="2" t="s">
        <v>10</v>
      </c>
      <c r="D12" s="4">
        <v>80</v>
      </c>
      <c r="E12" s="2">
        <v>30</v>
      </c>
      <c r="F12" s="2">
        <v>0</v>
      </c>
      <c r="G12" s="2">
        <v>1.54</v>
      </c>
      <c r="H12" s="2">
        <v>13.74</v>
      </c>
      <c r="I12" s="2">
        <v>1.01</v>
      </c>
      <c r="J12" s="2">
        <v>356.89</v>
      </c>
      <c r="K12" s="2">
        <v>318.05</v>
      </c>
      <c r="L12" s="2">
        <v>274.69</v>
      </c>
      <c r="M12" s="2">
        <v>286.89</v>
      </c>
      <c r="N12" s="2">
        <v>335.47</v>
      </c>
      <c r="O12" s="2">
        <v>0.49</v>
      </c>
      <c r="P12" s="17">
        <f>(O14-O12)/O14*100</f>
        <v>2.0000000000000018</v>
      </c>
      <c r="Q12">
        <f t="shared" si="0"/>
        <v>5.0240000000000007E-3</v>
      </c>
      <c r="R12" s="24">
        <f t="shared" si="1"/>
        <v>409.97854992226831</v>
      </c>
    </row>
    <row r="13" spans="1:18" x14ac:dyDescent="0.35">
      <c r="A13" s="9" t="s">
        <v>16</v>
      </c>
      <c r="B13" s="2">
        <v>60</v>
      </c>
      <c r="C13" s="2" t="s">
        <v>10</v>
      </c>
      <c r="D13" s="4">
        <v>80</v>
      </c>
      <c r="E13" s="2">
        <v>60</v>
      </c>
      <c r="F13" s="2">
        <v>0</v>
      </c>
      <c r="G13" s="2">
        <v>0.75</v>
      </c>
      <c r="H13" s="2">
        <v>3.83</v>
      </c>
      <c r="I13" s="2">
        <v>1</v>
      </c>
      <c r="J13" s="2">
        <v>356.63</v>
      </c>
      <c r="K13" s="2">
        <v>309.60000000000002</v>
      </c>
      <c r="L13" s="2">
        <v>273.89999999999998</v>
      </c>
      <c r="M13" s="2">
        <v>276.98</v>
      </c>
      <c r="N13" s="2">
        <v>371.51</v>
      </c>
      <c r="O13" s="2">
        <v>0.59</v>
      </c>
      <c r="P13" s="17">
        <f>(O14-O13)/O14*100</f>
        <v>-17.999999999999993</v>
      </c>
      <c r="Q13">
        <f t="shared" si="0"/>
        <v>5.0240000000000007E-3</v>
      </c>
      <c r="R13" s="24">
        <f t="shared" si="1"/>
        <v>338.58317837509884</v>
      </c>
    </row>
    <row r="14" spans="1:18" ht="15" thickBot="1" x14ac:dyDescent="0.4">
      <c r="A14" s="10" t="s">
        <v>16</v>
      </c>
      <c r="B14" s="11">
        <v>60</v>
      </c>
      <c r="C14" s="11" t="s">
        <v>10</v>
      </c>
      <c r="D14" s="14">
        <v>80</v>
      </c>
      <c r="E14" s="11">
        <v>90</v>
      </c>
      <c r="F14" s="11">
        <v>0</v>
      </c>
      <c r="G14" s="11">
        <v>1.27</v>
      </c>
      <c r="H14" s="11">
        <v>12.25</v>
      </c>
      <c r="I14" s="11">
        <v>1</v>
      </c>
      <c r="J14" s="11">
        <v>355.51</v>
      </c>
      <c r="K14" s="11">
        <v>315.35000000000002</v>
      </c>
      <c r="L14" s="11">
        <v>274.42</v>
      </c>
      <c r="M14" s="11">
        <v>285.39999999999998</v>
      </c>
      <c r="N14" s="11">
        <v>314.55</v>
      </c>
      <c r="O14" s="11">
        <v>0.5</v>
      </c>
      <c r="P14" s="18">
        <f>(O14-O14)/O14*100</f>
        <v>0</v>
      </c>
      <c r="Q14">
        <f t="shared" si="0"/>
        <v>5.0240000000000007E-3</v>
      </c>
      <c r="R14" s="24">
        <f t="shared" si="1"/>
        <v>396.50315933717388</v>
      </c>
    </row>
    <row r="15" spans="1:18" x14ac:dyDescent="0.35">
      <c r="A15" s="7" t="s">
        <v>16</v>
      </c>
      <c r="B15" s="8">
        <v>60</v>
      </c>
      <c r="C15" s="8" t="s">
        <v>10</v>
      </c>
      <c r="D15" s="13">
        <v>100</v>
      </c>
      <c r="E15" s="8">
        <v>0</v>
      </c>
      <c r="F15" s="8">
        <v>0</v>
      </c>
      <c r="G15" s="8">
        <v>0.8</v>
      </c>
      <c r="H15" s="8">
        <v>3.53</v>
      </c>
      <c r="I15" s="20">
        <v>0.71</v>
      </c>
      <c r="J15" s="8">
        <v>385.91</v>
      </c>
      <c r="K15" s="8">
        <v>305.82</v>
      </c>
      <c r="L15" s="8">
        <v>273.95</v>
      </c>
      <c r="M15" s="8">
        <v>276.68</v>
      </c>
      <c r="N15" s="8">
        <v>363.55</v>
      </c>
      <c r="O15" s="8">
        <v>0.8</v>
      </c>
      <c r="P15" s="16">
        <f>(O18-O15)/O18*100</f>
        <v>-110.5263157894737</v>
      </c>
      <c r="Q15">
        <f t="shared" si="0"/>
        <v>5.0240000000000007E-3</v>
      </c>
      <c r="R15" s="24">
        <f t="shared" si="1"/>
        <v>248.52614057592839</v>
      </c>
    </row>
    <row r="16" spans="1:18" x14ac:dyDescent="0.35">
      <c r="A16" s="9" t="s">
        <v>16</v>
      </c>
      <c r="B16" s="2">
        <v>60</v>
      </c>
      <c r="C16" s="2" t="s">
        <v>10</v>
      </c>
      <c r="D16" s="4">
        <v>100</v>
      </c>
      <c r="E16" s="2">
        <v>30</v>
      </c>
      <c r="F16" s="2">
        <v>0</v>
      </c>
      <c r="G16" s="2">
        <v>1.04</v>
      </c>
      <c r="H16" s="2">
        <v>13.91</v>
      </c>
      <c r="I16" s="2">
        <v>1</v>
      </c>
      <c r="J16" s="2">
        <v>356.83</v>
      </c>
      <c r="K16" s="2">
        <v>338.45</v>
      </c>
      <c r="L16" s="2">
        <v>274.19</v>
      </c>
      <c r="M16" s="2">
        <v>287.06</v>
      </c>
      <c r="N16" s="2">
        <v>338.17</v>
      </c>
      <c r="O16" s="2">
        <v>0.18</v>
      </c>
      <c r="P16" s="17">
        <f>(O18-O16)/O18*100</f>
        <v>52.631578947368418</v>
      </c>
      <c r="Q16">
        <f t="shared" si="0"/>
        <v>5.0240000000000007E-3</v>
      </c>
      <c r="R16" s="24">
        <f t="shared" si="1"/>
        <v>1082.9411642397235</v>
      </c>
    </row>
    <row r="17" spans="1:18" x14ac:dyDescent="0.35">
      <c r="A17" s="9" t="s">
        <v>16</v>
      </c>
      <c r="B17" s="2">
        <v>60</v>
      </c>
      <c r="C17" s="2" t="s">
        <v>10</v>
      </c>
      <c r="D17" s="4">
        <v>100</v>
      </c>
      <c r="E17" s="2">
        <v>60</v>
      </c>
      <c r="F17" s="2">
        <v>0</v>
      </c>
      <c r="G17" s="2">
        <v>2.56</v>
      </c>
      <c r="H17" s="2">
        <v>11.94</v>
      </c>
      <c r="I17" s="2">
        <v>1</v>
      </c>
      <c r="J17" s="2">
        <v>357.47</v>
      </c>
      <c r="K17" s="2">
        <v>321.05</v>
      </c>
      <c r="L17" s="2">
        <v>275.70999999999998</v>
      </c>
      <c r="M17" s="2">
        <v>285.08999999999997</v>
      </c>
      <c r="N17" s="2">
        <v>362.37</v>
      </c>
      <c r="O17" s="2">
        <v>0.36</v>
      </c>
      <c r="P17" s="17">
        <f>(O18-O17)/O18*100</f>
        <v>5.2631578947368469</v>
      </c>
      <c r="Q17">
        <f t="shared" si="0"/>
        <v>5.0240000000000007E-3</v>
      </c>
      <c r="R17" s="24">
        <f t="shared" si="1"/>
        <v>546.5254969447036</v>
      </c>
    </row>
    <row r="18" spans="1:18" ht="15" thickBot="1" x14ac:dyDescent="0.4">
      <c r="A18" s="10" t="s">
        <v>16</v>
      </c>
      <c r="B18" s="11">
        <v>60</v>
      </c>
      <c r="C18" s="11" t="s">
        <v>10</v>
      </c>
      <c r="D18" s="14">
        <v>100</v>
      </c>
      <c r="E18" s="11">
        <v>90</v>
      </c>
      <c r="F18" s="11">
        <v>0</v>
      </c>
      <c r="G18" s="11">
        <v>0.98</v>
      </c>
      <c r="H18" s="11">
        <v>7.94</v>
      </c>
      <c r="I18" s="11">
        <v>1</v>
      </c>
      <c r="J18" s="11">
        <v>356.51</v>
      </c>
      <c r="K18" s="11">
        <v>318.97000000000003</v>
      </c>
      <c r="L18" s="11">
        <v>274.13</v>
      </c>
      <c r="M18" s="11">
        <v>281.08999999999997</v>
      </c>
      <c r="N18" s="11">
        <v>371.29</v>
      </c>
      <c r="O18" s="11">
        <v>0.38</v>
      </c>
      <c r="P18" s="18">
        <f>(O18-O18)/O18*100</f>
        <v>0</v>
      </c>
      <c r="Q18">
        <f t="shared" si="0"/>
        <v>5.0240000000000007E-3</v>
      </c>
      <c r="R18" s="24">
        <f t="shared" si="1"/>
        <v>530.21999463841587</v>
      </c>
    </row>
    <row r="19" spans="1:18" x14ac:dyDescent="0.35">
      <c r="A19" s="22" t="s">
        <v>16</v>
      </c>
      <c r="B19" s="6">
        <v>60</v>
      </c>
      <c r="C19" s="6" t="s">
        <v>10</v>
      </c>
      <c r="D19" s="12">
        <v>120</v>
      </c>
      <c r="E19" s="6">
        <v>0</v>
      </c>
      <c r="F19" s="6">
        <v>0</v>
      </c>
      <c r="G19" s="6">
        <v>1.02</v>
      </c>
      <c r="H19" s="6">
        <v>1.05</v>
      </c>
      <c r="I19" s="6">
        <v>1</v>
      </c>
      <c r="J19" s="6">
        <v>354.39</v>
      </c>
      <c r="K19" s="6">
        <v>301.62</v>
      </c>
      <c r="L19" s="6">
        <v>274.17</v>
      </c>
      <c r="M19" s="6">
        <v>274.2</v>
      </c>
      <c r="N19" s="6">
        <v>359.27</v>
      </c>
      <c r="O19" s="6">
        <v>0.44</v>
      </c>
      <c r="P19" s="23">
        <f>(O22-O19)/O22*100</f>
        <v>-62.962962962962955</v>
      </c>
      <c r="Q19">
        <f t="shared" si="0"/>
        <v>5.0240000000000007E-3</v>
      </c>
      <c r="R19" s="24">
        <f t="shared" si="1"/>
        <v>452.63123590053709</v>
      </c>
    </row>
    <row r="20" spans="1:18" x14ac:dyDescent="0.35">
      <c r="A20" s="9" t="s">
        <v>16</v>
      </c>
      <c r="B20" s="2">
        <v>60</v>
      </c>
      <c r="C20" s="2" t="s">
        <v>10</v>
      </c>
      <c r="D20" s="4">
        <v>120</v>
      </c>
      <c r="E20" s="2">
        <v>30</v>
      </c>
      <c r="F20" s="2">
        <v>0</v>
      </c>
      <c r="G20" s="2">
        <v>2.52</v>
      </c>
      <c r="H20" s="2">
        <v>9.4600000000000009</v>
      </c>
      <c r="I20" s="2">
        <v>1</v>
      </c>
      <c r="J20" s="2">
        <v>356.47</v>
      </c>
      <c r="K20" s="2">
        <v>316.7</v>
      </c>
      <c r="L20" s="2">
        <v>275.67</v>
      </c>
      <c r="M20" s="2">
        <v>282.61</v>
      </c>
      <c r="N20" s="2">
        <v>0</v>
      </c>
      <c r="O20" s="2">
        <v>0.33</v>
      </c>
      <c r="P20" s="17">
        <f>(O22-O20)/O22*100</f>
        <v>-22.222222222222221</v>
      </c>
      <c r="Q20">
        <f t="shared" si="0"/>
        <v>5.0240000000000007E-3</v>
      </c>
      <c r="R20" s="24">
        <f t="shared" si="1"/>
        <v>600.58713398218026</v>
      </c>
    </row>
    <row r="21" spans="1:18" x14ac:dyDescent="0.35">
      <c r="A21" s="9" t="s">
        <v>16</v>
      </c>
      <c r="B21" s="2">
        <v>60</v>
      </c>
      <c r="C21" s="2" t="s">
        <v>10</v>
      </c>
      <c r="D21" s="4">
        <v>120</v>
      </c>
      <c r="E21" s="2">
        <v>60</v>
      </c>
      <c r="F21" s="2">
        <v>0</v>
      </c>
      <c r="G21" s="2">
        <v>1</v>
      </c>
      <c r="H21" s="2">
        <v>7.77</v>
      </c>
      <c r="I21" s="2">
        <v>1.01</v>
      </c>
      <c r="J21" s="2">
        <v>355.43</v>
      </c>
      <c r="K21" s="2">
        <v>311.35000000000002</v>
      </c>
      <c r="L21" s="2">
        <v>274.14999999999998</v>
      </c>
      <c r="M21" s="2">
        <v>280.92</v>
      </c>
      <c r="N21" s="2">
        <v>333.65</v>
      </c>
      <c r="O21" s="2">
        <v>0.37</v>
      </c>
      <c r="P21" s="17">
        <f>(O22-O21)/O22*100</f>
        <v>-37.037037037037024</v>
      </c>
      <c r="Q21">
        <f t="shared" si="0"/>
        <v>5.0240000000000007E-3</v>
      </c>
      <c r="R21" s="24">
        <f t="shared" si="1"/>
        <v>541.86366421214484</v>
      </c>
    </row>
    <row r="22" spans="1:18" ht="15" thickBot="1" x14ac:dyDescent="0.4">
      <c r="A22" s="10" t="s">
        <v>16</v>
      </c>
      <c r="B22" s="11">
        <v>60</v>
      </c>
      <c r="C22" s="11" t="s">
        <v>10</v>
      </c>
      <c r="D22" s="14">
        <v>120</v>
      </c>
      <c r="E22" s="11">
        <v>90</v>
      </c>
      <c r="F22" s="11">
        <v>0</v>
      </c>
      <c r="G22" s="11">
        <v>1.88</v>
      </c>
      <c r="H22" s="11">
        <v>14.63</v>
      </c>
      <c r="I22" s="11">
        <v>1</v>
      </c>
      <c r="J22" s="11">
        <v>355.65</v>
      </c>
      <c r="K22" s="11">
        <v>323.05</v>
      </c>
      <c r="L22" s="11">
        <v>275.02999999999997</v>
      </c>
      <c r="M22" s="11">
        <v>287.77999999999997</v>
      </c>
      <c r="N22" s="11">
        <v>0</v>
      </c>
      <c r="O22" s="11">
        <v>0.27</v>
      </c>
      <c r="P22" s="18">
        <f>(O22-O22)/O22*100</f>
        <v>0</v>
      </c>
      <c r="Q22">
        <f t="shared" si="0"/>
        <v>5.0240000000000007E-3</v>
      </c>
      <c r="R22" s="24">
        <f t="shared" si="1"/>
        <v>732.6794576218208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Te_constant</vt:lpstr>
      <vt:lpstr>P_constant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Kamlesh Parmar</dc:creator>
  <cp:lastModifiedBy>MSI (WIN10)</cp:lastModifiedBy>
  <dcterms:created xsi:type="dcterms:W3CDTF">2015-06-05T18:17:20Z</dcterms:created>
  <dcterms:modified xsi:type="dcterms:W3CDTF">2025-07-03T14:15:04Z</dcterms:modified>
</cp:coreProperties>
</file>